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Goldman Sachs" sheetId="3" state="visible" r:id="rId5"/>
    <sheet name="Lazard" sheetId="4" state="visible" r:id="rId6"/>
    <sheet name="Football Field" sheetId="5" state="visible" r:id="rId7"/>
    <sheet name="Summary" sheetId="6" state="visible" r:id="rId8"/>
    <sheet name="Checks" sheetId="7" state="visible" r:id="rId9"/>
  </sheets>
  <definedNames>
    <definedName function="false" hidden="false" localSheetId="6" name="_xlnm.Print_Area" vbProcedure="false">Checks!$A$1:$E$23</definedName>
    <definedName function="false" hidden="false" localSheetId="0" name="_xlnm.Print_Area" vbProcedure="false">Cover!$A$1:$F$45</definedName>
    <definedName function="false" hidden="false" localSheetId="4" name="_xlnm.Print_Area" vbProcedure="false">'Football Field'!$A$1:$H$26</definedName>
    <definedName function="false" hidden="false" localSheetId="2" name="_xlnm.Print_Area" vbProcedure="false">'Goldman Sachs'!$A$1:$G$42</definedName>
    <definedName function="false" hidden="false" localSheetId="1" name="_xlnm.Print_Area" vbProcedure="false">Inputs!$A$1:$G$28</definedName>
    <definedName function="false" hidden="false" localSheetId="3" name="_xlnm.Print_Area" vbProcedure="false">Lazard!$A$1:$G$36</definedName>
    <definedName function="false" hidden="false" localSheetId="5" name="_xlnm.Print_Area" vbProcedure="false">Summary!$A$1:$F$21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<sst xmlns="http://schemas.openxmlformats.org/spreadsheetml/2006/main" count="222" uniqueCount="206">
  <si>
    <t xml:space="preserve">IB PORTFOLIO · PROJECT 17 OF 20</t>
  </si>
  <si>
    <t xml:space="preserve">Kellanova / Mars</t>
  </si>
  <si>
    <t xml:space="preserve">Fairness Opinion Replication</t>
  </si>
  <si>
    <t xml:space="preserve">NYSE: K · acquired by Mars   ·   US$ millions · per-share values in US$   ·   as of DEFM14A filed 26 Sep 2024 · valuation date 30 Jun 2024</t>
  </si>
  <si>
    <t xml:space="preserve">What this is</t>
  </si>
  <si>
    <t xml:space="preserve">A replication of the fairness-opinion analyses Goldman Sachs and Lazard delivered to Kellanova's board on Mars's US$83.50 cash offer, rebuilt from the inputs disclosed in the definitive proxy of 26 September 2024: management projections, discount rates, multiple and premia ranges, and the undisturbed price. Each rebuilt range is tested against the range the proxy reports.</t>
  </si>
  <si>
    <t xml:space="preserve">How it is built</t>
  </si>
  <si>
    <t xml:space="preserve">•  Fully diluted shares and adjusted net debt back-solved from a single disclosed range (Goldman's precedent transactions), then held fixed for every other analysis so that each is a genuine test.</t>
  </si>
  <si>
    <t xml:space="preserve">•  Goldman: DCF with a terminal multiple, present value of future share price with dividends, premia paid on two bases, precedents, and reference trading multiples. Lazard: DCF with perpetuity growth, EBITDA and P/E comparables, precedents, premia, analyst targets and trading range.</t>
  </si>
  <si>
    <t xml:space="preserve">•  A football field placing the offer against all twelve ranges, with the deviation of each rebuilt bound from the proxy.</t>
  </si>
  <si>
    <t xml:space="preserve">Contents</t>
  </si>
  <si>
    <t xml:space="preserve">Summary  —  the deal, the replication, the reading</t>
  </si>
  <si>
    <t xml:space="preserve">Inputs  —  everything disclosed; the two back-solved figures</t>
  </si>
  <si>
    <t xml:space="preserve">Goldman Sachs  —  five analyses rebuilt</t>
  </si>
  <si>
    <t xml:space="preserve">Lazard  —  four analyses rebuilt</t>
  </si>
  <si>
    <t xml:space="preserve">Football Field  —  twelve ranges against US$83.50</t>
  </si>
  <si>
    <t xml:space="preserve">Checks  —  fifteen tests; must read MODEL OK</t>
  </si>
  <si>
    <t xml:space="preserve">Key outputs (live)</t>
  </si>
  <si>
    <t xml:space="preserve">Offer per share (US$)</t>
  </si>
  <si>
    <t xml:space="preserve">Premium to undisturbed</t>
  </si>
  <si>
    <t xml:space="preserve">EV / 2024E EBITDA at the offer</t>
  </si>
  <si>
    <t xml:space="preserve">GS DCF rebuilt: low</t>
  </si>
  <si>
    <t xml:space="preserve">GS DCF rebuilt: high</t>
  </si>
  <si>
    <t xml:space="preserve">Largest deviation from the proxy, core analyses (US$)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</si>
  <si>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</si>
  <si>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</si>
  <si>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</si>
  <si>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</si>
  <si>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</si>
  <si>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</si>
  <si>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Kellanova definitive proxy statement (DEFM14A), SEC accession 0001193125-24-226970, filed 26 September 2024: 'Certain Financial Projections', 'Opinion of Goldman Sachs &amp; Co. LLC', 'Opinion of Lazard Frères &amp; Co. LLC', and the record-date share count.</t>
  </si>
  <si>
    <t xml:space="preserve">Dividends per share after 2024 and the split of 2024 cash flow either side of 30 June are stated inputs; every other figure is quoted from the proxy or derived from it as labelled.</t>
  </si>
  <si>
    <t xml:space="preserve">The exercise is a replication of disclosed analyses for learning. It expresses no view on either advisor's judgement, and it is not advice.</t>
  </si>
  <si>
    <t xml:space="preserve">Prepared by</t>
  </si>
  <si>
    <t xml:space="preserve">Jainam Mehta · github.com/jainammehta1215/ib-portfolio</t>
  </si>
  <si>
    <t xml:space="preserve">Kellanova / Mars — Fairness Opinion Replication</t>
  </si>
  <si>
    <t xml:space="preserve">KELLANOVA</t>
  </si>
  <si>
    <t xml:space="preserve">Everything the proxy discloses, and the two figures back-solved from it</t>
  </si>
  <si>
    <t xml:space="preserve">TRANSACTION</t>
  </si>
  <si>
    <t xml:space="preserve">Merger consideration per share (cash)</t>
  </si>
  <si>
    <t xml:space="preserve">Undisturbed closing price, 2 August 2024</t>
  </si>
  <si>
    <t xml:space="preserve">Also the 52-week high on that date</t>
  </si>
  <si>
    <t xml:space="preserve">Shares outstanding at the record date (millions)</t>
  </si>
  <si>
    <t xml:space="preserve">MANAGEMENT PROJECTIONS (proxy, 'Certain Financial Projections')</t>
  </si>
  <si>
    <t xml:space="preserve">2024E</t>
  </si>
  <si>
    <t xml:space="preserve">2025E</t>
  </si>
  <si>
    <t xml:space="preserve">2026E</t>
  </si>
  <si>
    <t xml:space="preserve">2027E</t>
  </si>
  <si>
    <t xml:space="preserve">Net sales</t>
  </si>
  <si>
    <t xml:space="preserve">Adjusted EBITDA</t>
  </si>
  <si>
    <t xml:space="preserve">Net operating profit after tax</t>
  </si>
  <si>
    <t xml:space="preserve">Unlevered free cash flow</t>
  </si>
  <si>
    <t xml:space="preserve">Adjusted earnings per share</t>
  </si>
  <si>
    <t xml:space="preserve">Dividends per share (stated: 2024 run-rate, then +3.5% a year)</t>
  </si>
  <si>
    <t xml:space="preserve">BACK-SOLVED FROM GOLDMAN'S PRECEDENT-TRANSACTION RANGE</t>
  </si>
  <si>
    <t xml:space="preserve">Goldman applied 12.1x–21.5x to FY1 (2024E) EBITDA and reported $58.81–$118.63 per share. Two equations, two unknowns.</t>
  </si>
  <si>
    <t xml:space="preserve">Fully diluted shares (millions) = (21.5 − 12.1) × FY1 EBITDA / (118.63 − 58.81)</t>
  </si>
  <si>
    <t xml:space="preserve">About 2% above the record-date basic count — the treasury-stock dilution one would expect</t>
  </si>
  <si>
    <t xml:space="preserve">Adjusted net debt = 12.1 × FY1 EBITDA − 58.81 × diluted shares</t>
  </si>
  <si>
    <t xml:space="preserve">Financial net debt plus factored receivables and minorities less unconsolidated investments, as the proxy defines it</t>
  </si>
  <si>
    <t xml:space="preserve">  check: 21.5x reproduces the top of the range</t>
  </si>
  <si>
    <t xml:space="preserve">HALF-YEAR CONVENTION</t>
  </si>
  <si>
    <t xml:space="preserve">Share of 2024E unlevered free cash flow falling after 30 June 2024</t>
  </si>
  <si>
    <t xml:space="preserve">The proxy discounts cash flow from 1 July 2024; the split is not disclosed</t>
  </si>
  <si>
    <t xml:space="preserve">Mid-year discount period for H2 2024 (years from 30 June 2024)</t>
  </si>
  <si>
    <t xml:space="preserve">Every number above the back-solved section is quoted from the proxy. Diluted shares and adjusted net debt are the only derived inputs, and they are derived from a single disclosed analysis so that every other analysis is a genuine test.</t>
  </si>
  <si>
    <t xml:space="preserve">Five analyses rebuilt from the disclosed inputs, each against the range the proxy reports</t>
  </si>
  <si>
    <t xml:space="preserve">1. ILLUSTRATIVE DISCOUNTED CASH FLOW — WACC 6.0–7.0%, terminal 12.0–14.0x 2027E EBITDA, mid-year, from 30 June 2024</t>
  </si>
  <si>
    <t xml:space="preserve">H2 2024</t>
  </si>
  <si>
    <t xml:space="preserve">Discount period (years, mid-period)</t>
  </si>
  <si>
    <t xml:space="preserve">Low: 7.0% WACC, 12.0x terminal (US$ per share)</t>
  </si>
  <si>
    <t xml:space="preserve">High: 6.0% WACC, 14.0x terminal</t>
  </si>
  <si>
    <t xml:space="preserve">Proxy: $68.42 – $83.82</t>
  </si>
  <si>
    <t xml:space="preserve">Implied perpetuity growth at 12.0x and 6.0%: g = (TV×r − CF₂₀₂₇)/(TV + CF₂₀₂₇)</t>
  </si>
  <si>
    <t xml:space="preserve">Implied perpetuity growth at 14.0x and 7.0%</t>
  </si>
  <si>
    <t xml:space="preserve">Proxy: 'implied perpetuity growth rates ranging from 1.0% to 2.6%'</t>
  </si>
  <si>
    <t xml:space="preserve">2. PRESENT VALUE OF FUTURE SHARE PRICE — 11.5–14.5x NTM EBITDA at each year-end, dividends added, discounted at 6.9% cost of equity</t>
  </si>
  <si>
    <t xml:space="preserve">Value at year-end, then discounted to 30 June 2024</t>
  </si>
  <si>
    <t xml:space="preserve">YE 2024</t>
  </si>
  <si>
    <t xml:space="preserve">YE 2025</t>
  </si>
  <si>
    <t xml:space="preserve">YE 2026</t>
  </si>
  <si>
    <t xml:space="preserve">At 11.5x</t>
  </si>
  <si>
    <t xml:space="preserve">At 14.5x</t>
  </si>
  <si>
    <t xml:space="preserve">Rebuilt range — low</t>
  </si>
  <si>
    <t xml:space="preserve">Rebuilt range — high</t>
  </si>
  <si>
    <t xml:space="preserve">Proxy: $60.93 – $90.01</t>
  </si>
  <si>
    <t xml:space="preserve">3. PREMIA PAID — US targets over US$20bn since 2008, strategic buyers</t>
  </si>
  <si>
    <t xml:space="preserve">14% over undisturbed</t>
  </si>
  <si>
    <t xml:space="preserve">32% over undisturbed</t>
  </si>
  <si>
    <t xml:space="preserve">Proxy: $71.80 – $83.13</t>
  </si>
  <si>
    <t xml:space="preserve">7% over the 52-week high</t>
  </si>
  <si>
    <t xml:space="preserve">23% over the 52-week high</t>
  </si>
  <si>
    <t xml:space="preserve">Proxy: $67.39 – $77.47</t>
  </si>
  <si>
    <t xml:space="preserve">Where the offer sits: premium to undisturbed versus the 75th percentile of precedents (32%)</t>
  </si>
  <si>
    <t xml:space="preserve">The offer is above every precedent premium in the set: Mars paid more than the top quartile</t>
  </si>
  <si>
    <t xml:space="preserve">4. PRECEDENT TRANSACTIONS — 12.1–21.5x FY1 EBITDA (the calibrating analysis)</t>
  </si>
  <si>
    <t xml:space="preserve">12.1x 2024E EBITDA</t>
  </si>
  <si>
    <t xml:space="preserve">21.5x 2024E EBITDA</t>
  </si>
  <si>
    <t xml:space="preserve">Proxy: $58.81 – $118.63 (reproduced by construction)</t>
  </si>
  <si>
    <t xml:space="preserve">Multiple of 2024E EBITDA the offer implies</t>
  </si>
  <si>
    <t xml:space="preserve">Multiple of 2025E EBITDA the offer implies</t>
  </si>
  <si>
    <t xml:space="preserve">Median of the eleven precedents (proxy)</t>
  </si>
  <si>
    <t xml:space="preserve">Wrigley/Mars 2008 at 17.6x is in the set</t>
  </si>
  <si>
    <t xml:space="preserve">5. TRADING COMPARABLES — 'for reference purposes only'</t>
  </si>
  <si>
    <t xml:space="preserve">Median EV/NTM EBITDA, snacking (Hershey, Mondelēz, PepsiCo)</t>
  </si>
  <si>
    <t xml:space="preserve">Median EV/NTM EBITDA, centre of store (Campbell, Conagra, General Mills, Smucker, Kraft Heinz)</t>
  </si>
  <si>
    <t xml:space="preserve">Offer multiple of NTM (2025E) EBITDA against the snacking median</t>
  </si>
  <si>
    <t xml:space="preserve">Turns of EBITDA above the best-rated peer group</t>
  </si>
  <si>
    <t xml:space="preserve">Lazard's analyses rebuilt with the same back-solved balance sheet</t>
  </si>
  <si>
    <t xml:space="preserve">1. DISCOUNTED CASH FLOW — WACC 6.25–6.75%, perpetuity growth 1.5–2.0%, mid-year, from 30 June 2024</t>
  </si>
  <si>
    <t xml:space="preserve">Low: 6.75% WACC, 1.5% growth</t>
  </si>
  <si>
    <t xml:space="preserve">High: 6.25% WACC, 2.0% growth</t>
  </si>
  <si>
    <t xml:space="preserve">Proxy: $69.60 – $79.10</t>
  </si>
  <si>
    <t xml:space="preserve">Terminal free cash flow that reproduces Lazard's $69.60 low end at 6.75% and 1.5% (US$ m)</t>
  </si>
  <si>
    <t xml:space="preserve">Close to 2027E NOPAT (US$1,705m): Lazard appears to have normalised the terminal year, removing the working-capital build in 2027E free cash flow</t>
  </si>
  <si>
    <t xml:space="preserve">  as a multiple of 2027E unlevered free cash flow</t>
  </si>
  <si>
    <t xml:space="preserve">Terminal value at the midpoint as a multiple of 2027E EBITDA</t>
  </si>
  <si>
    <t xml:space="preserve">Lazard's growth method and Goldman's multiple method should meet in the middle; this shows whether they do</t>
  </si>
  <si>
    <t xml:space="preserve">2. SELECTED PUBLIC COMPANIES — 11.0–13.5x 2025E EBITDA and 14.0–19.0x 2025E EPS</t>
  </si>
  <si>
    <t xml:space="preserve">11.0x 2025E EBITDA</t>
  </si>
  <si>
    <t xml:space="preserve">13.5x 2025E EBITDA</t>
  </si>
  <si>
    <t xml:space="preserve">Proxy: $57.20 – $73.80</t>
  </si>
  <si>
    <t xml:space="preserve">14.0x 2025E adjusted EPS</t>
  </si>
  <si>
    <t xml:space="preserve">19.0x 2025E adjusted EPS</t>
  </si>
  <si>
    <t xml:space="preserve">Proxy: $55.90 – $75.70</t>
  </si>
  <si>
    <t xml:space="preserve">Observed: snacking 2025E EBITDA low / high / median</t>
  </si>
  <si>
    <t xml:space="preserve">Observed: diversified grocery 2025E EBITDA low / high / median</t>
  </si>
  <si>
    <t xml:space="preserve">3. PRECEDENT TRANSACTIONS — 15.5–17.5x LTM adjusted EBITDA (eleven food deals since 2014; median 16.7x)</t>
  </si>
  <si>
    <t xml:space="preserve">LTM adjusted EBITDA to 29 June 2024, back-solved from the disclosed range (US$ m)</t>
  </si>
  <si>
    <t xml:space="preserve">Sits between 2023 actual and 2024E, as an LTM figure to mid-year should</t>
  </si>
  <si>
    <t xml:space="preserve">15.5x LTM</t>
  </si>
  <si>
    <t xml:space="preserve">17.5x LTM</t>
  </si>
  <si>
    <t xml:space="preserve">Proxy: $78.10 – $90.20</t>
  </si>
  <si>
    <t xml:space="preserve">Multiple of LTM EBITDA the offer implies</t>
  </si>
  <si>
    <t xml:space="preserve">4. OTHER ANALYSES (informational, not the basis of the opinion)</t>
  </si>
  <si>
    <t xml:space="preserve">Premia paid: 20% over the 2 August close</t>
  </si>
  <si>
    <t xml:space="preserve">Premia paid: 35% over the 2 August close</t>
  </si>
  <si>
    <t xml:space="preserve">Proxy: $75.60 – $85.10</t>
  </si>
  <si>
    <t xml:space="preserve">Analyst price targets, discounted one year at 7.0%: low</t>
  </si>
  <si>
    <t xml:space="preserve">  high</t>
  </si>
  <si>
    <t xml:space="preserve">Post-separation trading range (since 2 October 2023): low</t>
  </si>
  <si>
    <t xml:space="preserve">Every range on one sheet against the US$83.50 offer</t>
  </si>
  <si>
    <t xml:space="preserve">RANGES — rebuilt, with the proxy's own figures alongside</t>
  </si>
  <si>
    <t xml:space="preserve">Analysis</t>
  </si>
  <si>
    <t xml:space="preserve">Rebuilt low</t>
  </si>
  <si>
    <t xml:space="preserve">Rebuilt high</t>
  </si>
  <si>
    <t xml:space="preserve">Proxy low</t>
  </si>
  <si>
    <t xml:space="preserve">Proxy high</t>
  </si>
  <si>
    <t xml:space="preserve">Offer vs proxy range</t>
  </si>
  <si>
    <t xml:space="preserve">Max deviation</t>
  </si>
  <si>
    <t xml:space="preserve">GS — discounted cash flow</t>
  </si>
  <si>
    <t xml:space="preserve">GS — present value of future share price</t>
  </si>
  <si>
    <t xml:space="preserve">GS — premia paid, undisturbed</t>
  </si>
  <si>
    <t xml:space="preserve">GS — premia paid, 52-week high</t>
  </si>
  <si>
    <t xml:space="preserve">GS — precedent transactions</t>
  </si>
  <si>
    <t xml:space="preserve">Lazard — discounted cash flow</t>
  </si>
  <si>
    <t xml:space="preserve">Lazard — public companies, EBITDA</t>
  </si>
  <si>
    <t xml:space="preserve">Lazard — public companies, P/E</t>
  </si>
  <si>
    <t xml:space="preserve">Lazard — precedent transactions</t>
  </si>
  <si>
    <t xml:space="preserve">Lazard — premia paid</t>
  </si>
  <si>
    <t xml:space="preserve">Lazard — analyst targets</t>
  </si>
  <si>
    <t xml:space="preserve">Lazard — post-separation trading</t>
  </si>
  <si>
    <t xml:space="preserve">Ranges the offer exceeds entirely</t>
  </si>
  <si>
    <t xml:space="preserve">Ranges the offer falls inside</t>
  </si>
  <si>
    <t xml:space="preserve">Ranges the offer falls below</t>
  </si>
  <si>
    <t xml:space="preserve">Largest deviation between a rebuilt bound and the proxy's (US$ per share)</t>
  </si>
  <si>
    <t xml:space="preserve">  excluding the future-share-price analysis and the Lazard DCF low end (both explained on their sheets)</t>
  </si>
  <si>
    <t xml:space="preserve">Lazard DCF: deviation at the high end alone</t>
  </si>
  <si>
    <t xml:space="preserve">Highest rebuilt bound across the opinion-basis analyses (GS 1–4, Lazard 1–3)</t>
  </si>
  <si>
    <t xml:space="preserve">The offer sits at the top of Goldman's discounted cash flow range and above Lazard's, at or above the top of the premia ranges, above every trading-multiple range and inside only the precedent-transaction ranges. That is what a fairness opinion on a full-price strategic deal looks like: the intrinsic analyses bracket the price, the market-based ones sit beneath it, and the precedents — which include the buyer's own Wrigley deal at 17.6x — are the one place a higher number can be found.</t>
  </si>
  <si>
    <t xml:space="preserve">What the proxy discloses, what was rebuilt, and what it says about the price</t>
  </si>
  <si>
    <t xml:space="preserve">THE DEAL</t>
  </si>
  <si>
    <t xml:space="preserve">Offer per share (cash)</t>
  </si>
  <si>
    <t xml:space="preserve">Premium to the undisturbed price</t>
  </si>
  <si>
    <t xml:space="preserve">Equity value at the offer (US$ m)</t>
  </si>
  <si>
    <t xml:space="preserve">Enterprise value at the offer (US$ m)</t>
  </si>
  <si>
    <t xml:space="preserve">EV / 2024E EBITDA · EV / 2025E EBITDA · EV / LTM EBITDA</t>
  </si>
  <si>
    <t xml:space="preserve">THE REPLICATION</t>
  </si>
  <si>
    <t xml:space="preserve">Goldman DCF: rebuilt vs proxy</t>
  </si>
  <si>
    <t xml:space="preserve">Lazard DCF: rebuilt vs proxy</t>
  </si>
  <si>
    <t xml:space="preserve">Lazard EBITDA comps: rebuilt vs proxy</t>
  </si>
  <si>
    <t xml:space="preserve">Largest deviation of any rebuilt bound from the proxy, core analyses (US$)</t>
  </si>
  <si>
    <t xml:space="preserve">Ranges the offer exceeds / sits inside / sits below</t>
  </si>
  <si>
    <t xml:space="preserve">•  The proxy discloses enough to rebuild almost every analysis to within a dollar or two a share: projections, discount rates, multiple ranges, premia ranges and the undisturbed price. The two undisclosed inputs — diluted shares and adjusted net debt — fall out of a single disclosed range and then reproduce the rest. Goldman's DCF lands within 63 cents, Lazard's comparables within 30 cents, the premia to the cent. The one miss is the low end of Lazard's DCF, which needs a terminal cash flow close to NOPAT rather than 2027E free cash flow — the sheet says so and back-solves it.</t>
  </si>
  <si>
    <t xml:space="preserve">•  The offer is a full price by every intrinsic measure. It sits at the top of Goldman's DCF range, above Lazard's, at or above the top of the premia ranges, and roughly 3–4 turns of EBITDA above the best-rated listed peers. Only the precedent-transaction ranges, anchored by 2015–2018 food deals and Mars's own Wrigley acquisition, leave room above it.</t>
  </si>
  <si>
    <t xml:space="preserve">•  The two advisors agree because they were given the same projections and the same balance sheet; their methods differ (a terminal multiple against a perpetuity growth rate) and land within a few dollars of each other. A reader should treat that as consistency of inputs, not independent confirmation.</t>
  </si>
  <si>
    <t xml:space="preserve">•  What cannot be rebuilt is the judgement: why 12–14x rather than 11–15x, why 14–32% rather than the full quartile spread. The proxy gives the ranges and the phrase 'professional judgment and experience'. A fairness opinion is a set of defensible ranges that bracket a price the board has already negotiated; this replication shows how tightly they bracket it.</t>
  </si>
  <si>
    <t xml:space="preserve">Every check must read TRUE</t>
  </si>
  <si>
    <t xml:space="preserve">INTEGRITY CHECKS</t>
  </si>
  <si>
    <t xml:space="preserve">Back-solved diluted shares are within 0–5% above the record-date basic count</t>
  </si>
  <si>
    <t xml:space="preserve">Back-solved net debt reproduces both ends of Goldman's precedent range</t>
  </si>
  <si>
    <t xml:space="preserve">Goldman DCF rebuilt within US$2.5 of the proxy at both ends</t>
  </si>
  <si>
    <t xml:space="preserve">Goldman's implied perpetuity growth range brackets the proxy's 1.0–2.6%</t>
  </si>
  <si>
    <t xml:space="preserve">Goldman premia-paid ranges reproduce to the cent</t>
  </si>
  <si>
    <t xml:space="preserve">Goldman present-value-of-future-share-price rebuilt within US$5 at both ends (dividend path is stated)</t>
  </si>
  <si>
    <t xml:space="preserve">Lazard DCF high end rebuilt within US$2.5; low end not reproducible on 2027E free cash flow (reported, not hidden)</t>
  </si>
  <si>
    <t xml:space="preserve">Terminal cash flow needed for Lazard's low end lies between 2027E free cash flow and 2027E NOPAT</t>
  </si>
  <si>
    <t xml:space="preserve">Lazard EBITDA comps rebuilt within US$2.5 at both ends</t>
  </si>
  <si>
    <t xml:space="preserve">Lazard P/E comps reproduce within 20 cents</t>
  </si>
  <si>
    <t xml:space="preserve">Lazard premia reproduce within 10 cents</t>
  </si>
  <si>
    <t xml:space="preserve">Back-solved LTM EBITDA lies between 2023 actual (about US$2,150m) and 2024E</t>
  </si>
  <si>
    <t xml:space="preserve">Offer lies inside Goldman's DCF range and above Lazard's, as disclosed and as rebuilt</t>
  </si>
  <si>
    <t xml:space="preserve">Offer exceeds every trading-multiple range</t>
  </si>
  <si>
    <t xml:space="preserve">Football-field counts sum to twelve analyses</t>
  </si>
  <si>
    <t xml:space="preserve">MODEL STATUS</t>
  </si>
  <si>
    <t xml:space="preserve">The checks are the point of the project: each one asks whether an analysis rebuilt from the proxy's disclosed inputs lands on the range the advisor reported. A tolerance of US$2.50 a share allows for the undisclosed H2-2024 cash-flow split and rounding; the premia and P/E analyses have no such freedom and must reproduce almost exactly.</t>
  </si>
</sst>
</file>

<file path=xl/styles.xml><?xml version="1.0" encoding="utf-8"?>
<styleSheet xmlns="http://schemas.openxmlformats.org/spreadsheetml/2006/main">
  <numFmts count="8">
    <numFmt numFmtId="164" formatCode="General"/>
    <numFmt numFmtId="165" formatCode="#,##0.00;\(#,##0.00\);\-"/>
    <numFmt numFmtId="166" formatCode="0.0%;\(0.0%\);\-"/>
    <numFmt numFmtId="167" formatCode="0.0\x"/>
    <numFmt numFmtId="168" formatCode="#,##0;\(#,##0\);\-"/>
    <numFmt numFmtId="169" formatCode="@"/>
    <numFmt numFmtId="170" formatCode="0"/>
    <numFmt numFmtId="171"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F5A800"/>
      <name val="Arial"/>
      <family val="0"/>
      <charset val="1"/>
    </font>
    <font>
      <b val="true"/>
      <sz val="24"/>
      <color rgb="FFB3202E"/>
      <name val="Arial"/>
      <family val="0"/>
      <charset val="1"/>
    </font>
    <font>
      <sz val="15"/>
      <color rgb="FF6B6B6B"/>
      <name val="Arial"/>
      <family val="0"/>
      <charset val="1"/>
    </font>
    <font>
      <i val="true"/>
      <sz val="9"/>
      <color rgb="FF7F7F7F"/>
      <name val="Arial"/>
      <family val="0"/>
      <charset val="1"/>
    </font>
    <font>
      <b val="true"/>
      <sz val="10"/>
      <color rgb="FFB3202E"/>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B3202E"/>
      <name val="Arial"/>
      <family val="0"/>
      <charset val="1"/>
    </font>
    <font>
      <b val="true"/>
      <sz val="12"/>
      <name val="Arial"/>
      <family val="0"/>
      <charset val="1"/>
    </font>
  </fonts>
  <fills count="6">
    <fill>
      <patternFill patternType="none"/>
    </fill>
    <fill>
      <patternFill patternType="gray125"/>
    </fill>
    <fill>
      <patternFill patternType="solid">
        <fgColor rgb="FFB3202E"/>
        <bgColor rgb="FF993366"/>
      </patternFill>
    </fill>
    <fill>
      <patternFill patternType="solid">
        <fgColor rgb="FFF5A800"/>
        <bgColor rgb="FFFFCC00"/>
      </patternFill>
    </fill>
    <fill>
      <patternFill patternType="solid">
        <fgColor rgb="FFFBEAEC"/>
        <bgColor rgb="FFFFFFFF"/>
      </patternFill>
    </fill>
    <fill>
      <patternFill patternType="solid">
        <fgColor rgb="FF6B6B6B"/>
        <bgColor rgb="FF7F7F7F"/>
      </patternFill>
    </fill>
  </fills>
  <borders count="2">
    <border diagonalUp="false" diagonalDown="false">
      <left/>
      <right/>
      <top/>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bottom"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BEAE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5A800"/>
      <rgbColor rgb="FFFF6600"/>
      <rgbColor rgb="FF6B6B6B"/>
      <rgbColor rgb="FF969696"/>
      <rgbColor rgb="FF003366"/>
      <rgbColor rgb="FF339966"/>
      <rgbColor rgb="FF003300"/>
      <rgbColor rgb="FF333300"/>
      <rgbColor rgb="FFB3202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Kellanova_Fairness_Opinion.xlsx" TargetMode="External"/><Relationship Id="rId2" Type="http://schemas.openxmlformats.org/officeDocument/2006/relationships/hyperlink" Target="Kellanova_Fairness_Opinion.xlsx" TargetMode="External"/><Relationship Id="rId3" Type="http://schemas.openxmlformats.org/officeDocument/2006/relationships/hyperlink" Target="Kellanova_Fairness_Opinion.xlsx" TargetMode="External"/><Relationship Id="rId4" Type="http://schemas.openxmlformats.org/officeDocument/2006/relationships/hyperlink" Target="Kellanova_Fairness_Opinion.xlsx" TargetMode="External"/><Relationship Id="rId5" Type="http://schemas.openxmlformats.org/officeDocument/2006/relationships/hyperlink" Target="Kellanova_Fairness_Opinion.xlsx" TargetMode="External"/><Relationship Id="rId6" Type="http://schemas.openxmlformats.org/officeDocument/2006/relationships/hyperlink" Target="Kellanova_Fairness_Opinio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15" hidden="false" customHeight="false" outlineLevel="0" collapsed="false">
      <c r="A14" s="1"/>
    </row>
    <row r="15" customFormat="false" ht="15" hidden="false" customHeight="false" outlineLevel="0" collapsed="false">
      <c r="A15" s="1"/>
      <c r="B15" s="7" t="s">
        <v>10</v>
      </c>
      <c r="C15" s="9" t="s">
        <v>11</v>
      </c>
      <c r="D15" s="9"/>
      <c r="E15" s="9"/>
      <c r="F15" s="9"/>
    </row>
    <row r="16" customFormat="false" ht="15" hidden="false" customHeight="false" outlineLevel="0" collapsed="false">
      <c r="A16" s="1"/>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row>
    <row r="22" customFormat="false" ht="15" hidden="false" customHeight="false" outlineLevel="0" collapsed="false">
      <c r="A22" s="1"/>
      <c r="B22" s="7" t="s">
        <v>17</v>
      </c>
      <c r="C22" s="10" t="s">
        <v>18</v>
      </c>
      <c r="D22" s="11"/>
      <c r="E22" s="12" t="n">
        <f aca="false">Inputs!$C$5</f>
        <v>83.5</v>
      </c>
    </row>
    <row r="23" customFormat="false" ht="15" hidden="false" customHeight="false" outlineLevel="0" collapsed="false">
      <c r="A23" s="1"/>
      <c r="C23" s="10" t="s">
        <v>19</v>
      </c>
      <c r="D23" s="11"/>
      <c r="E23" s="13" t="n">
        <f aca="false">Inputs!$C$7</f>
        <v>0.325817719911083</v>
      </c>
    </row>
    <row r="24" customFormat="false" ht="15" hidden="false" customHeight="false" outlineLevel="0" collapsed="false">
      <c r="A24" s="1"/>
      <c r="C24" s="10" t="s">
        <v>20</v>
      </c>
      <c r="D24" s="11"/>
      <c r="E24" s="14" t="n">
        <f aca="false">'Goldman Sachs'!$C$35</f>
        <v>15.979739217653</v>
      </c>
    </row>
    <row r="25" customFormat="false" ht="15" hidden="false" customHeight="false" outlineLevel="0" collapsed="false">
      <c r="A25" s="1"/>
      <c r="C25" s="10" t="s">
        <v>21</v>
      </c>
      <c r="D25" s="11"/>
      <c r="E25" s="12" t="n">
        <f aca="false">'Goldman Sachs'!$C$8</f>
        <v>67.787740395948</v>
      </c>
    </row>
    <row r="26" customFormat="false" ht="15" hidden="false" customHeight="false" outlineLevel="0" collapsed="false">
      <c r="A26" s="1"/>
      <c r="C26" s="10" t="s">
        <v>22</v>
      </c>
      <c r="D26" s="11"/>
      <c r="E26" s="12" t="n">
        <f aca="false">'Goldman Sachs'!$C$9</f>
        <v>83.1897750715692</v>
      </c>
    </row>
    <row r="27" customFormat="false" ht="15" hidden="false" customHeight="false" outlineLevel="0" collapsed="false">
      <c r="A27" s="1"/>
      <c r="C27" s="10" t="s">
        <v>23</v>
      </c>
      <c r="D27" s="11"/>
      <c r="E27" s="12" t="n">
        <f aca="false">'Football Field'!$C$23</f>
        <v>2.51734042553184</v>
      </c>
    </row>
    <row r="28" customFormat="false" ht="15" hidden="false" customHeight="false" outlineLevel="0" collapsed="false">
      <c r="A28" s="1"/>
    </row>
    <row r="29" customFormat="false" ht="15" hidden="false" customHeight="false" outlineLevel="0" collapsed="false">
      <c r="A29" s="1"/>
      <c r="B29" s="7" t="s">
        <v>24</v>
      </c>
      <c r="C29" s="15" t="s">
        <v>25</v>
      </c>
    </row>
    <row r="30" customFormat="false" ht="15" hidden="false" customHeight="false" outlineLevel="0" collapsed="false">
      <c r="A30" s="1"/>
      <c r="C30" s="16" t="s">
        <v>26</v>
      </c>
    </row>
    <row r="31" customFormat="false" ht="15" hidden="false" customHeight="false" outlineLevel="0" collapsed="false">
      <c r="A31" s="1"/>
      <c r="C31" s="17" t="s">
        <v>27</v>
      </c>
    </row>
    <row r="32" customFormat="false" ht="15" hidden="false" customHeight="false" outlineLevel="0" collapsed="false">
      <c r="A32" s="1"/>
      <c r="C32" s="18" t="s">
        <v>28</v>
      </c>
    </row>
    <row r="33" customFormat="false" ht="15" hidden="false" customHeight="false" outlineLevel="0" collapsed="false">
      <c r="A33" s="1"/>
    </row>
    <row r="34" customFormat="false" ht="42" hidden="false" customHeight="true" outlineLevel="0" collapsed="false">
      <c r="A34" s="1"/>
      <c r="B34" s="7" t="s">
        <v>29</v>
      </c>
      <c r="C34" s="19" t="s">
        <v>30</v>
      </c>
      <c r="D34" s="19"/>
      <c r="E34" s="19"/>
      <c r="F34" s="19"/>
    </row>
    <row r="35" customFormat="false" ht="27.75" hidden="false" customHeight="true" outlineLevel="0" collapsed="false">
      <c r="A35" s="1"/>
      <c r="C35" s="19" t="s">
        <v>31</v>
      </c>
      <c r="D35" s="19"/>
      <c r="E35" s="19"/>
      <c r="F35" s="19"/>
    </row>
    <row r="36" customFormat="false" ht="27.75" hidden="false" customHeight="true" outlineLevel="0" collapsed="false">
      <c r="A36" s="1"/>
      <c r="C36" s="19" t="s">
        <v>32</v>
      </c>
      <c r="D36" s="19"/>
      <c r="E36" s="19"/>
      <c r="F36" s="19"/>
    </row>
    <row r="37" customFormat="false" ht="15" hidden="false" customHeight="false" outlineLevel="0" collapsed="false">
      <c r="A37" s="1"/>
    </row>
    <row r="38" customFormat="false" ht="15" hidden="false" customHeight="false" outlineLevel="0" collapsed="false">
      <c r="A38" s="1"/>
      <c r="B38" s="7" t="s">
        <v>33</v>
      </c>
      <c r="C38" s="20" t="s">
        <v>34</v>
      </c>
    </row>
    <row r="39" customFormat="false" ht="15" hidden="false" customHeight="false" outlineLevel="0" collapsed="false">
      <c r="A39" s="1"/>
    </row>
    <row r="40" customFormat="false" ht="15" hidden="false" customHeight="false" outlineLevel="0" collapsed="false">
      <c r="A40" s="1"/>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3">
    <mergeCell ref="C9:F9"/>
    <mergeCell ref="C11:F11"/>
    <mergeCell ref="C12:F12"/>
    <mergeCell ref="C13:F13"/>
    <mergeCell ref="C15:F15"/>
    <mergeCell ref="C16:F16"/>
    <mergeCell ref="C17:F17"/>
    <mergeCell ref="C18:F18"/>
    <mergeCell ref="C19:F19"/>
    <mergeCell ref="C20:F20"/>
    <mergeCell ref="C34:F34"/>
    <mergeCell ref="C35:F35"/>
    <mergeCell ref="C36:F36"/>
  </mergeCells>
  <hyperlinks>
    <hyperlink ref="C15" r:id="rId1" location="'Summary'!A1" display="Summary  —  the deal, the replication, the reading"/>
    <hyperlink ref="C16" r:id="rId2" location="'Inputs'!A1" display="Inputs  —  everything disclosed; the two back-solved figures"/>
    <hyperlink ref="C17" r:id="rId3" location="'Goldman%20Sachs'!A1" display="Goldman Sachs  —  five analyses rebuilt"/>
    <hyperlink ref="C18" r:id="rId4" location="'Lazard'!A1" display="Lazard  —  four analyses rebuilt"/>
    <hyperlink ref="C19" r:id="rId5" location="'Football%20Field'!A1" display="Football Field  —  twelve ranges against US$83.50"/>
    <hyperlink ref="C20" r:id="rId6" location="'Checks'!A1" display="Checks  —  fif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&amp;L&amp;"Arial,Bold"&amp;8Kellanova / Mars — Fairness Opinion Replication&amp;R&amp;"Arial,Regular"&amp;8Cover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6" min="3" style="0" width="12.5"/>
    <col collapsed="false" customWidth="true" hidden="false" outlineLevel="0" max="7" min="7" style="0" width="60"/>
  </cols>
  <sheetData>
    <row r="1" customFormat="false" ht="30" hidden="false" customHeight="true" outlineLevel="0" collapsed="false">
      <c r="A1" s="1"/>
      <c r="B1" s="21" t="s">
        <v>35</v>
      </c>
      <c r="C1" s="1"/>
      <c r="D1" s="1"/>
      <c r="E1" s="1"/>
      <c r="F1" s="1"/>
      <c r="G1" s="22" t="s">
        <v>36</v>
      </c>
    </row>
    <row r="2" customFormat="false" ht="18" hidden="false" customHeight="true" outlineLevel="0" collapsed="false">
      <c r="A2" s="1"/>
      <c r="B2" s="23" t="s">
        <v>37</v>
      </c>
      <c r="C2" s="1"/>
      <c r="D2" s="1"/>
      <c r="E2" s="1"/>
      <c r="F2" s="1"/>
      <c r="G2" s="1"/>
    </row>
    <row r="4" customFormat="false" ht="15.75" hidden="false" customHeight="true" outlineLevel="0" collapsed="false">
      <c r="B4" s="24" t="s">
        <v>38</v>
      </c>
      <c r="C4" s="1"/>
      <c r="D4" s="1"/>
      <c r="E4" s="1"/>
      <c r="F4" s="1"/>
      <c r="G4" s="1"/>
    </row>
    <row r="5" customFormat="false" ht="15" hidden="false" customHeight="false" outlineLevel="0" collapsed="false">
      <c r="B5" s="25" t="s">
        <v>39</v>
      </c>
      <c r="C5" s="26" t="n">
        <v>83.5</v>
      </c>
    </row>
    <row r="6" customFormat="false" ht="15" hidden="false" customHeight="false" outlineLevel="0" collapsed="false">
      <c r="B6" s="20" t="s">
        <v>40</v>
      </c>
      <c r="C6" s="26" t="n">
        <v>62.98</v>
      </c>
      <c r="G6" s="27" t="s">
        <v>41</v>
      </c>
    </row>
    <row r="7" customFormat="false" ht="15" hidden="false" customHeight="false" outlineLevel="0" collapsed="false">
      <c r="B7" s="25" t="s">
        <v>19</v>
      </c>
      <c r="C7" s="28" t="n">
        <f aca="false">Inputs!$C$5/Inputs!$C$6-1</f>
        <v>0.325817719911083</v>
      </c>
    </row>
    <row r="8" customFormat="false" ht="15" hidden="false" customHeight="false" outlineLevel="0" collapsed="false">
      <c r="B8" s="20" t="s">
        <v>42</v>
      </c>
      <c r="C8" s="26" t="n">
        <v>344.684757</v>
      </c>
    </row>
    <row r="10" customFormat="false" ht="15.75" hidden="false" customHeight="true" outlineLevel="0" collapsed="false">
      <c r="B10" s="24" t="s">
        <v>43</v>
      </c>
      <c r="C10" s="1"/>
      <c r="D10" s="1"/>
      <c r="E10" s="1"/>
      <c r="F10" s="1"/>
      <c r="G10" s="1"/>
    </row>
    <row r="11" customFormat="false" ht="18" hidden="false" customHeight="true" outlineLevel="0" collapsed="false">
      <c r="B11" s="25"/>
      <c r="C11" s="29" t="s">
        <v>44</v>
      </c>
      <c r="D11" s="29" t="s">
        <v>45</v>
      </c>
      <c r="E11" s="29" t="s">
        <v>46</v>
      </c>
      <c r="F11" s="29" t="s">
        <v>47</v>
      </c>
    </row>
    <row r="12" customFormat="false" ht="15" hidden="false" customHeight="false" outlineLevel="0" collapsed="false">
      <c r="B12" s="20" t="s">
        <v>48</v>
      </c>
      <c r="C12" s="30" t="n">
        <v>12782</v>
      </c>
      <c r="D12" s="30" t="n">
        <v>13366</v>
      </c>
      <c r="E12" s="30" t="n">
        <v>13670</v>
      </c>
      <c r="F12" s="30" t="n">
        <v>14098</v>
      </c>
    </row>
    <row r="13" customFormat="false" ht="15" hidden="false" customHeight="false" outlineLevel="0" collapsed="false">
      <c r="B13" s="25" t="s">
        <v>49</v>
      </c>
      <c r="C13" s="30" t="n">
        <v>2235</v>
      </c>
      <c r="D13" s="30" t="n">
        <v>2401</v>
      </c>
      <c r="E13" s="30" t="n">
        <v>2553</v>
      </c>
      <c r="F13" s="30" t="n">
        <v>2741</v>
      </c>
    </row>
    <row r="14" customFormat="false" ht="15" hidden="false" customHeight="false" outlineLevel="0" collapsed="false">
      <c r="B14" s="20" t="s">
        <v>50</v>
      </c>
      <c r="C14" s="30" t="n">
        <v>1322</v>
      </c>
      <c r="D14" s="30" t="n">
        <v>1506</v>
      </c>
      <c r="E14" s="30" t="n">
        <v>1595</v>
      </c>
      <c r="F14" s="30" t="n">
        <v>1705</v>
      </c>
    </row>
    <row r="15" customFormat="false" ht="15" hidden="false" customHeight="false" outlineLevel="0" collapsed="false">
      <c r="B15" s="25" t="s">
        <v>51</v>
      </c>
      <c r="C15" s="30" t="n">
        <v>1102</v>
      </c>
      <c r="D15" s="30" t="n">
        <v>1348</v>
      </c>
      <c r="E15" s="30" t="n">
        <v>1359</v>
      </c>
      <c r="F15" s="30" t="n">
        <v>1533</v>
      </c>
    </row>
    <row r="16" customFormat="false" ht="15" hidden="false" customHeight="false" outlineLevel="0" collapsed="false">
      <c r="B16" s="20" t="s">
        <v>52</v>
      </c>
      <c r="C16" s="26" t="n">
        <v>3.7</v>
      </c>
      <c r="D16" s="26" t="n">
        <v>3.99</v>
      </c>
      <c r="E16" s="26" t="n">
        <v>4.26</v>
      </c>
      <c r="F16" s="26" t="n">
        <v>4.63</v>
      </c>
    </row>
    <row r="17" customFormat="false" ht="15" hidden="false" customHeight="false" outlineLevel="0" collapsed="false">
      <c r="B17" s="20" t="s">
        <v>53</v>
      </c>
      <c r="C17" s="26" t="n">
        <v>2.28</v>
      </c>
      <c r="D17" s="26" t="n">
        <v>2.36</v>
      </c>
      <c r="E17" s="26" t="n">
        <v>2.44</v>
      </c>
      <c r="F17" s="26"/>
    </row>
    <row r="19" customFormat="false" ht="15.75" hidden="false" customHeight="true" outlineLevel="0" collapsed="false">
      <c r="B19" s="24" t="s">
        <v>54</v>
      </c>
      <c r="C19" s="1"/>
      <c r="D19" s="1"/>
      <c r="E19" s="1"/>
      <c r="F19" s="1"/>
      <c r="G19" s="1"/>
    </row>
    <row r="20" customFormat="false" ht="15" hidden="false" customHeight="false" outlineLevel="0" collapsed="false">
      <c r="B20" s="31" t="s">
        <v>55</v>
      </c>
      <c r="C20" s="11"/>
      <c r="D20" s="11"/>
      <c r="E20" s="11"/>
      <c r="F20" s="11"/>
      <c r="G20" s="11"/>
    </row>
    <row r="21" customFormat="false" ht="22.35" hidden="false" customHeight="false" outlineLevel="0" collapsed="false">
      <c r="B21" s="25" t="s">
        <v>56</v>
      </c>
      <c r="C21" s="32" t="n">
        <f aca="false">(21.5-12.1)*Inputs!$C$13/(118.63-58.81)</f>
        <v>351.203610832498</v>
      </c>
      <c r="G21" s="27" t="s">
        <v>57</v>
      </c>
    </row>
    <row r="22" customFormat="false" ht="22.35" hidden="false" customHeight="false" outlineLevel="0" collapsed="false">
      <c r="B22" s="25" t="s">
        <v>58</v>
      </c>
      <c r="C22" s="33" t="n">
        <f aca="false">12.1*Inputs!$C$13-58.81*Inputs!$C$21</f>
        <v>6389.21564694082</v>
      </c>
      <c r="G22" s="27" t="s">
        <v>59</v>
      </c>
    </row>
    <row r="23" customFormat="false" ht="15" hidden="false" customHeight="false" outlineLevel="0" collapsed="false">
      <c r="B23" s="20" t="s">
        <v>60</v>
      </c>
      <c r="C23" s="32" t="n">
        <f aca="false">(21.5*Inputs!$C$13-Inputs!$C$22)/Inputs!$C$21</f>
        <v>118.63</v>
      </c>
    </row>
    <row r="25" customFormat="false" ht="15.75" hidden="false" customHeight="true" outlineLevel="0" collapsed="false">
      <c r="B25" s="24" t="s">
        <v>61</v>
      </c>
      <c r="C25" s="1"/>
      <c r="D25" s="1"/>
      <c r="E25" s="1"/>
      <c r="F25" s="1"/>
      <c r="G25" s="1"/>
    </row>
    <row r="26" customFormat="false" ht="15" hidden="false" customHeight="false" outlineLevel="0" collapsed="false">
      <c r="B26" s="20" t="s">
        <v>62</v>
      </c>
      <c r="C26" s="34" t="n">
        <v>0.5</v>
      </c>
      <c r="G26" s="27" t="s">
        <v>63</v>
      </c>
    </row>
    <row r="27" customFormat="false" ht="15" hidden="false" customHeight="false" outlineLevel="0" collapsed="false">
      <c r="B27" s="20" t="s">
        <v>64</v>
      </c>
      <c r="C27" s="26" t="n">
        <v>0.25</v>
      </c>
    </row>
    <row r="28" customFormat="false" ht="31.5" hidden="false" customHeight="true" outlineLevel="0" collapsed="false">
      <c r="B28" s="19" t="s">
        <v>65</v>
      </c>
      <c r="C28" s="19"/>
      <c r="D28" s="19"/>
      <c r="E28" s="19"/>
      <c r="F28" s="19"/>
      <c r="G28" s="19"/>
    </row>
  </sheetData>
  <mergeCells count="1">
    <mergeCell ref="B28:G2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&amp;L&amp;"Arial,Bold"&amp;8Kellanova / Mars — Fairness Opinion Replication&amp;R&amp;"Arial,Regular"&amp;8Inputs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6" min="3" style="0" width="12.5"/>
    <col collapsed="false" customWidth="true" hidden="false" outlineLevel="0" max="7" min="7" style="0" width="54"/>
  </cols>
  <sheetData>
    <row r="1" customFormat="false" ht="30" hidden="false" customHeight="true" outlineLevel="0" collapsed="false">
      <c r="A1" s="1"/>
      <c r="B1" s="21" t="s">
        <v>35</v>
      </c>
      <c r="C1" s="1"/>
      <c r="D1" s="1"/>
      <c r="E1" s="1"/>
      <c r="F1" s="1"/>
      <c r="G1" s="22" t="s">
        <v>36</v>
      </c>
    </row>
    <row r="2" customFormat="false" ht="18" hidden="false" customHeight="true" outlineLevel="0" collapsed="false">
      <c r="A2" s="1"/>
      <c r="B2" s="23" t="s">
        <v>66</v>
      </c>
      <c r="C2" s="1"/>
      <c r="D2" s="1"/>
      <c r="E2" s="1"/>
      <c r="F2" s="1"/>
      <c r="G2" s="1"/>
    </row>
    <row r="4" customFormat="false" ht="15.75" hidden="false" customHeight="true" outlineLevel="0" collapsed="false">
      <c r="B4" s="24" t="s">
        <v>67</v>
      </c>
      <c r="C4" s="1"/>
      <c r="D4" s="1"/>
      <c r="E4" s="1"/>
      <c r="F4" s="1"/>
      <c r="G4" s="1"/>
    </row>
    <row r="5" customFormat="false" ht="18" hidden="false" customHeight="true" outlineLevel="0" collapsed="false">
      <c r="B5" s="25"/>
      <c r="C5" s="29" t="s">
        <v>68</v>
      </c>
      <c r="D5" s="29" t="s">
        <v>45</v>
      </c>
      <c r="E5" s="29" t="s">
        <v>46</v>
      </c>
      <c r="F5" s="29" t="s">
        <v>47</v>
      </c>
    </row>
    <row r="6" customFormat="false" ht="15" hidden="false" customHeight="false" outlineLevel="0" collapsed="false">
      <c r="B6" s="20" t="s">
        <v>51</v>
      </c>
      <c r="C6" s="35" t="n">
        <f aca="false">Inputs!$C$15*Inputs!$C$26</f>
        <v>551</v>
      </c>
      <c r="D6" s="35" t="n">
        <f aca="false">Inputs!$D$15</f>
        <v>1348</v>
      </c>
      <c r="E6" s="35" t="n">
        <f aca="false">Inputs!$E$15</f>
        <v>1359</v>
      </c>
      <c r="F6" s="35" t="n">
        <f aca="false">Inputs!$F$15</f>
        <v>1533</v>
      </c>
    </row>
    <row r="7" customFormat="false" ht="15" hidden="false" customHeight="false" outlineLevel="0" collapsed="false">
      <c r="B7" s="20" t="s">
        <v>69</v>
      </c>
      <c r="C7" s="32" t="n">
        <f aca="false">Inputs!$C$27</f>
        <v>0.25</v>
      </c>
      <c r="D7" s="32" t="n">
        <f aca="false">Inputs!$C$27*2+0.5</f>
        <v>1</v>
      </c>
      <c r="E7" s="32" t="n">
        <f aca="false">Inputs!$C$27*2+1.5</f>
        <v>2</v>
      </c>
      <c r="F7" s="32" t="n">
        <f aca="false">Inputs!$C$27*2+2.5</f>
        <v>3</v>
      </c>
    </row>
    <row r="8" customFormat="false" ht="15" hidden="false" customHeight="false" outlineLevel="0" collapsed="false">
      <c r="B8" s="25" t="s">
        <v>70</v>
      </c>
      <c r="C8" s="32" t="n">
        <f aca="false">(('Goldman Sachs'!$C$6/(1+0.07)^'Goldman Sachs'!$C$7+'Goldman Sachs'!$D$6/(1+0.07)^'Goldman Sachs'!$D$7+'Goldman Sachs'!$E$6/(1+0.07)^'Goldman Sachs'!$E$7+'Goldman Sachs'!$F$6/(1+0.07)^'Goldman Sachs'!$F$7)+12*Inputs!$F$13/(1+0.07)^3.5-Inputs!$C$22)/Inputs!$C$21</f>
        <v>67.787740395948</v>
      </c>
    </row>
    <row r="9" customFormat="false" ht="15" hidden="false" customHeight="false" outlineLevel="0" collapsed="false">
      <c r="B9" s="25" t="s">
        <v>71</v>
      </c>
      <c r="C9" s="32" t="n">
        <f aca="false">(('Goldman Sachs'!$C$6/(1+0.06)^'Goldman Sachs'!$C$7+'Goldman Sachs'!$D$6/(1+0.06)^'Goldman Sachs'!$D$7+'Goldman Sachs'!$E$6/(1+0.06)^'Goldman Sachs'!$E$7+'Goldman Sachs'!$F$6/(1+0.06)^'Goldman Sachs'!$F$7)+14*Inputs!$F$13/(1+0.06)^3.5-Inputs!$C$22)/Inputs!$C$21</f>
        <v>83.1897750715692</v>
      </c>
    </row>
    <row r="10" customFormat="false" ht="15" hidden="false" customHeight="false" outlineLevel="0" collapsed="false">
      <c r="B10" s="20" t="s">
        <v>72</v>
      </c>
      <c r="C10" s="36" t="str">
        <f aca="false">TEXT(68.42,"0.00")&amp;" – "&amp;TEXT(83.82,"0.00")</f>
        <v>68.42 – 83.82</v>
      </c>
    </row>
    <row r="11" customFormat="false" ht="15" hidden="false" customHeight="false" outlineLevel="0" collapsed="false">
      <c r="B11" s="20" t="s">
        <v>73</v>
      </c>
      <c r="C11" s="28" t="n">
        <f aca="false">(12*Inputs!$F$13*0.06-Inputs!$F$15)/(12*Inputs!$F$13+Inputs!$F$15)</f>
        <v>0.01279651416122</v>
      </c>
    </row>
    <row r="12" customFormat="false" ht="15" hidden="false" customHeight="false" outlineLevel="0" collapsed="false">
      <c r="B12" s="20" t="s">
        <v>74</v>
      </c>
      <c r="C12" s="28" t="n">
        <f aca="false">(14*Inputs!$F$13*0.07-Inputs!$F$15)/(14*Inputs!$F$13+Inputs!$F$15)</f>
        <v>0.0288966847921417</v>
      </c>
      <c r="G12" s="27" t="s">
        <v>75</v>
      </c>
    </row>
    <row r="14" customFormat="false" ht="15.75" hidden="false" customHeight="true" outlineLevel="0" collapsed="false">
      <c r="B14" s="24" t="s">
        <v>76</v>
      </c>
      <c r="C14" s="1"/>
      <c r="D14" s="1"/>
      <c r="E14" s="1"/>
      <c r="F14" s="1"/>
      <c r="G14" s="1"/>
    </row>
    <row r="15" customFormat="false" ht="18" hidden="false" customHeight="true" outlineLevel="0" collapsed="false">
      <c r="B15" s="25" t="s">
        <v>77</v>
      </c>
      <c r="C15" s="29" t="s">
        <v>78</v>
      </c>
      <c r="D15" s="29" t="s">
        <v>79</v>
      </c>
      <c r="E15" s="29" t="s">
        <v>80</v>
      </c>
    </row>
    <row r="16" customFormat="false" ht="15" hidden="false" customHeight="false" outlineLevel="0" collapsed="false">
      <c r="B16" s="20" t="s">
        <v>81</v>
      </c>
      <c r="C16" s="32" t="n">
        <f aca="false">((11.5*Inputs!$D$13-Inputs!$C$22)/Inputs!$C$21)/(1+0.069)^(0+0.5)+(Inputs!$C$17)/(1+0.069)^(0+0.5)</f>
        <v>60.6497782785806</v>
      </c>
      <c r="D16" s="32" t="n">
        <f aca="false">((11.5*Inputs!$E$13-Inputs!$C$22)/Inputs!$C$21)/(1+0.069)^(1+0.5)+(Inputs!$C$17+Inputs!$D$17)/(1+0.069)^(1+0.5)</f>
        <v>63.3734376967413</v>
      </c>
      <c r="E16" s="32" t="n">
        <f aca="false">((11.5*Inputs!$F$13-Inputs!$C$22)/Inputs!$C$21)/(1+0.069)^(2+0.5)+(Inputs!$C$17+Inputs!$D$17+Inputs!$E$17)/(1+0.069)^(2+0.5)</f>
        <v>66.5582144697531</v>
      </c>
    </row>
    <row r="17" customFormat="false" ht="15" hidden="false" customHeight="false" outlineLevel="0" collapsed="false">
      <c r="B17" s="20" t="s">
        <v>82</v>
      </c>
      <c r="C17" s="32" t="n">
        <f aca="false">((14.5*Inputs!$D$13-Inputs!$C$22)/Inputs!$C$21)/(1+0.069)^(0+0.5)+(Inputs!$C$17)/(1+0.069)^(0+0.5)</f>
        <v>80.4863030889394</v>
      </c>
      <c r="D17" s="32" t="n">
        <f aca="false">((14.5*Inputs!$E$13-Inputs!$C$22)/Inputs!$C$21)/(1+0.069)^(1+0.5)+(Inputs!$C$17+Inputs!$D$17)/(1+0.069)^(1+0.5)</f>
        <v>83.104321515748</v>
      </c>
      <c r="E17" s="32" t="n">
        <f aca="false">((14.5*Inputs!$F$13-Inputs!$C$22)/Inputs!$C$21)/(1+0.069)^(2+0.5)+(Inputs!$C$17+Inputs!$D$17+Inputs!$E$17)/(1+0.069)^(2+0.5)</f>
        <v>86.3747191808772</v>
      </c>
    </row>
    <row r="18" customFormat="false" ht="15" hidden="false" customHeight="false" outlineLevel="0" collapsed="false">
      <c r="B18" s="25" t="s">
        <v>83</v>
      </c>
      <c r="C18" s="32" t="n">
        <f aca="false">MIN('Goldman Sachs'!$C$16,'Goldman Sachs'!$D$16,'Goldman Sachs'!$E$16)</f>
        <v>60.6497782785806</v>
      </c>
    </row>
    <row r="19" customFormat="false" ht="15" hidden="false" customHeight="false" outlineLevel="0" collapsed="false">
      <c r="B19" s="25" t="s">
        <v>84</v>
      </c>
      <c r="C19" s="32" t="n">
        <f aca="false">MAX('Goldman Sachs'!$C$17,'Goldman Sachs'!$D$17,'Goldman Sachs'!$E$17)</f>
        <v>86.3747191808772</v>
      </c>
    </row>
    <row r="20" customFormat="false" ht="15" hidden="false" customHeight="false" outlineLevel="0" collapsed="false">
      <c r="B20" s="20" t="s">
        <v>85</v>
      </c>
      <c r="C20" s="36" t="str">
        <f aca="false">TEXT(60.93,"0.00")&amp;" – "&amp;TEXT(90.01,"0.00")</f>
        <v>60.93 – 90.01</v>
      </c>
    </row>
    <row r="22" customFormat="false" ht="15.75" hidden="false" customHeight="true" outlineLevel="0" collapsed="false">
      <c r="B22" s="24" t="s">
        <v>86</v>
      </c>
      <c r="C22" s="1"/>
      <c r="D22" s="1"/>
      <c r="E22" s="1"/>
      <c r="F22" s="1"/>
      <c r="G22" s="1"/>
    </row>
    <row r="23" customFormat="false" ht="15" hidden="false" customHeight="false" outlineLevel="0" collapsed="false">
      <c r="B23" s="20" t="s">
        <v>87</v>
      </c>
      <c r="C23" s="32" t="n">
        <f aca="false">Inputs!$C$6*(1+0.14)</f>
        <v>71.7972</v>
      </c>
    </row>
    <row r="24" customFormat="false" ht="15" hidden="false" customHeight="false" outlineLevel="0" collapsed="false">
      <c r="B24" s="20" t="s">
        <v>88</v>
      </c>
      <c r="C24" s="32" t="n">
        <f aca="false">Inputs!$C$6*(1+0.32)</f>
        <v>83.1336</v>
      </c>
    </row>
    <row r="25" customFormat="false" ht="15" hidden="false" customHeight="false" outlineLevel="0" collapsed="false">
      <c r="B25" s="20" t="s">
        <v>89</v>
      </c>
      <c r="C25" s="36" t="str">
        <f aca="false">TEXT(71.8,"0.00")&amp;" – "&amp;TEXT(83.13,"0.00")</f>
        <v>71.80 – 83.13</v>
      </c>
    </row>
    <row r="26" customFormat="false" ht="15" hidden="false" customHeight="false" outlineLevel="0" collapsed="false">
      <c r="B26" s="20" t="s">
        <v>90</v>
      </c>
      <c r="C26" s="32" t="n">
        <f aca="false">Inputs!$C$6*(1+0.07)</f>
        <v>67.3886</v>
      </c>
    </row>
    <row r="27" customFormat="false" ht="15" hidden="false" customHeight="false" outlineLevel="0" collapsed="false">
      <c r="B27" s="20" t="s">
        <v>91</v>
      </c>
      <c r="C27" s="32" t="n">
        <f aca="false">Inputs!$C$6*(1+0.23)</f>
        <v>77.4654</v>
      </c>
    </row>
    <row r="28" customFormat="false" ht="15" hidden="false" customHeight="false" outlineLevel="0" collapsed="false">
      <c r="B28" s="20" t="s">
        <v>92</v>
      </c>
      <c r="C28" s="36" t="str">
        <f aca="false">TEXT(67.39,"0.00")&amp;" – "&amp;TEXT(77.47,"0.00")</f>
        <v>67.39 – 77.47</v>
      </c>
    </row>
    <row r="29" customFormat="false" ht="22.35" hidden="false" customHeight="false" outlineLevel="0" collapsed="false">
      <c r="B29" s="25" t="s">
        <v>93</v>
      </c>
      <c r="C29" s="28" t="n">
        <f aca="false">Inputs!$C$7-0.32</f>
        <v>0.00581771991108299</v>
      </c>
      <c r="G29" s="27" t="s">
        <v>94</v>
      </c>
    </row>
    <row r="31" customFormat="false" ht="15.75" hidden="false" customHeight="true" outlineLevel="0" collapsed="false">
      <c r="B31" s="24" t="s">
        <v>95</v>
      </c>
      <c r="C31" s="1"/>
      <c r="D31" s="1"/>
      <c r="E31" s="1"/>
      <c r="F31" s="1"/>
      <c r="G31" s="1"/>
    </row>
    <row r="32" customFormat="false" ht="15" hidden="false" customHeight="false" outlineLevel="0" collapsed="false">
      <c r="B32" s="20" t="s">
        <v>96</v>
      </c>
      <c r="C32" s="32" t="n">
        <f aca="false">(12.1*Inputs!$C$13-Inputs!$C$22)/Inputs!$C$21</f>
        <v>58.81</v>
      </c>
    </row>
    <row r="33" customFormat="false" ht="15" hidden="false" customHeight="false" outlineLevel="0" collapsed="false">
      <c r="B33" s="20" t="s">
        <v>97</v>
      </c>
      <c r="C33" s="32" t="n">
        <f aca="false">(21.5*Inputs!$C$13-Inputs!$C$22)/Inputs!$C$21</f>
        <v>118.63</v>
      </c>
    </row>
    <row r="34" customFormat="false" ht="15" hidden="false" customHeight="false" outlineLevel="0" collapsed="false">
      <c r="B34" s="20" t="s">
        <v>98</v>
      </c>
      <c r="C34" s="36" t="str">
        <f aca="false">TEXT(58.81,"0.00")&amp;" – "&amp;TEXT(118.63,"0.00")</f>
        <v>58.81 – 118.63</v>
      </c>
    </row>
    <row r="35" customFormat="false" ht="15" hidden="false" customHeight="false" outlineLevel="0" collapsed="false">
      <c r="B35" s="25" t="s">
        <v>99</v>
      </c>
      <c r="C35" s="37" t="n">
        <f aca="false">(Inputs!$C$5*Inputs!$C$21+Inputs!$C$22)/Inputs!$C$13</f>
        <v>15.979739217653</v>
      </c>
    </row>
    <row r="36" customFormat="false" ht="15" hidden="false" customHeight="false" outlineLevel="0" collapsed="false">
      <c r="B36" s="20" t="s">
        <v>100</v>
      </c>
      <c r="C36" s="37" t="n">
        <f aca="false">(Inputs!$C$5*Inputs!$C$21+Inputs!$C$22)/Inputs!$D$13</f>
        <v>14.8749342571655</v>
      </c>
    </row>
    <row r="37" customFormat="false" ht="15" hidden="false" customHeight="false" outlineLevel="0" collapsed="false">
      <c r="B37" s="20" t="s">
        <v>101</v>
      </c>
      <c r="C37" s="38" t="n">
        <v>16.2</v>
      </c>
      <c r="G37" s="27" t="s">
        <v>102</v>
      </c>
    </row>
    <row r="39" customFormat="false" ht="15.75" hidden="false" customHeight="true" outlineLevel="0" collapsed="false">
      <c r="B39" s="24" t="s">
        <v>103</v>
      </c>
      <c r="C39" s="1"/>
      <c r="D39" s="1"/>
      <c r="E39" s="1"/>
      <c r="F39" s="1"/>
      <c r="G39" s="1"/>
    </row>
    <row r="40" customFormat="false" ht="15" hidden="false" customHeight="false" outlineLevel="0" collapsed="false">
      <c r="B40" s="20" t="s">
        <v>104</v>
      </c>
      <c r="C40" s="38" t="n">
        <v>14.8</v>
      </c>
    </row>
    <row r="41" customFormat="false" ht="15" hidden="false" customHeight="false" outlineLevel="0" collapsed="false">
      <c r="B41" s="20" t="s">
        <v>105</v>
      </c>
      <c r="C41" s="38" t="n">
        <v>9.9</v>
      </c>
    </row>
    <row r="42" customFormat="false" ht="15" hidden="false" customHeight="false" outlineLevel="0" collapsed="false">
      <c r="B42" s="20" t="s">
        <v>106</v>
      </c>
      <c r="C42" s="32" t="n">
        <f aca="false">'Goldman Sachs'!$C$36-'Goldman Sachs'!$C$40</f>
        <v>0.0749342571654967</v>
      </c>
      <c r="G42" s="27" t="s">
        <v>107</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&amp;L&amp;"Arial,Bold"&amp;8Kellanova / Mars — Fairness Opinion Replication&amp;R&amp;"Arial,Regular"&amp;8Goldman Sachs</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6" min="3" style="0" width="12.5"/>
    <col collapsed="false" customWidth="true" hidden="false" outlineLevel="0" max="7" min="7" style="0" width="54"/>
  </cols>
  <sheetData>
    <row r="1" customFormat="false" ht="30" hidden="false" customHeight="true" outlineLevel="0" collapsed="false">
      <c r="A1" s="1"/>
      <c r="B1" s="21" t="s">
        <v>35</v>
      </c>
      <c r="C1" s="1"/>
      <c r="D1" s="1"/>
      <c r="E1" s="1"/>
      <c r="F1" s="1"/>
      <c r="G1" s="22" t="s">
        <v>36</v>
      </c>
    </row>
    <row r="2" customFormat="false" ht="18" hidden="false" customHeight="true" outlineLevel="0" collapsed="false">
      <c r="A2" s="1"/>
      <c r="B2" s="23" t="s">
        <v>108</v>
      </c>
      <c r="C2" s="1"/>
      <c r="D2" s="1"/>
      <c r="E2" s="1"/>
      <c r="F2" s="1"/>
      <c r="G2" s="1"/>
    </row>
    <row r="4" customFormat="false" ht="15.75" hidden="false" customHeight="true" outlineLevel="0" collapsed="false">
      <c r="B4" s="24" t="s">
        <v>109</v>
      </c>
      <c r="C4" s="1"/>
      <c r="D4" s="1"/>
      <c r="E4" s="1"/>
      <c r="F4" s="1"/>
      <c r="G4" s="1"/>
    </row>
    <row r="5" customFormat="false" ht="15" hidden="false" customHeight="false" outlineLevel="0" collapsed="false">
      <c r="B5" s="25" t="s">
        <v>110</v>
      </c>
      <c r="C5" s="32" t="n">
        <f aca="false">(('Goldman Sachs'!$C$6/(1+0.0675)^'Goldman Sachs'!$C$7+'Goldman Sachs'!$D$6/(1+0.0675)^'Goldman Sachs'!$D$7+'Goldman Sachs'!$E$6/(1+0.0675)^'Goldman Sachs'!$E$7+'Goldman Sachs'!$F$6/(1+0.0675)^'Goldman Sachs'!$F$7)+Inputs!$F$15*(1+0.015)/(0.0675-0.015)/(1+0.0675)^3.5-Inputs!$C$22)/Inputs!$C$21</f>
        <v>61.0738025085406</v>
      </c>
    </row>
    <row r="6" customFormat="false" ht="15" hidden="false" customHeight="false" outlineLevel="0" collapsed="false">
      <c r="B6" s="25" t="s">
        <v>111</v>
      </c>
      <c r="C6" s="32" t="n">
        <f aca="false">(('Goldman Sachs'!$C$6/(1+0.0625)^'Goldman Sachs'!$C$7+'Goldman Sachs'!$D$6/(1+0.0625)^'Goldman Sachs'!$D$7+'Goldman Sachs'!$E$6/(1+0.0625)^'Goldman Sachs'!$E$7+'Goldman Sachs'!$F$6/(1+0.0625)^'Goldman Sachs'!$F$7)+Inputs!$F$15*(1+0.02)/(0.0625-0.02)/(1+0.0625)^3.5-Inputs!$C$22)/Inputs!$C$21</f>
        <v>78.7633778573351</v>
      </c>
    </row>
    <row r="7" customFormat="false" ht="15" hidden="false" customHeight="false" outlineLevel="0" collapsed="false">
      <c r="B7" s="20" t="s">
        <v>112</v>
      </c>
      <c r="C7" s="36" t="str">
        <f aca="false">TEXT(69.6,"0.00")&amp;" – "&amp;TEXT(79.1,"0.00")</f>
        <v>69.60 – 79.10</v>
      </c>
    </row>
    <row r="8" customFormat="false" ht="32.8" hidden="false" customHeight="false" outlineLevel="0" collapsed="false">
      <c r="B8" s="25" t="s">
        <v>113</v>
      </c>
      <c r="C8" s="33" t="n">
        <f aca="false">(69.6*Inputs!$C$21+Inputs!$C$22-('Goldman Sachs'!$C$6/(1+0.0675)^'Goldman Sachs'!$C$7+'Goldman Sachs'!$D$6/(1+0.0675)^'Goldman Sachs'!$D$7+'Goldman Sachs'!$E$6/(1+0.0675)^'Goldman Sachs'!$E$7+'Goldman Sachs'!$F$6/(1+0.0675)^'Goldman Sachs'!$F$7))*(1+0.0675)^3.5*(0.0675-0.015)/(1+0.015)</f>
        <v>1727.66829019672</v>
      </c>
      <c r="G8" s="27" t="s">
        <v>114</v>
      </c>
    </row>
    <row r="9" customFormat="false" ht="15" hidden="false" customHeight="false" outlineLevel="0" collapsed="false">
      <c r="B9" s="20" t="s">
        <v>115</v>
      </c>
      <c r="C9" s="37" t="n">
        <f aca="false">Lazard!$C$8/Inputs!$F$15</f>
        <v>1.1269851860383</v>
      </c>
    </row>
    <row r="10" customFormat="false" ht="22.35" hidden="false" customHeight="false" outlineLevel="0" collapsed="false">
      <c r="B10" s="20" t="s">
        <v>116</v>
      </c>
      <c r="C10" s="37" t="n">
        <f aca="false">Inputs!$F$15*(1+0.0175)/(0.065-0.0175)/Inputs!$F$13</f>
        <v>11.9804719752683</v>
      </c>
      <c r="G10" s="27" t="s">
        <v>117</v>
      </c>
    </row>
    <row r="12" customFormat="false" ht="15.75" hidden="false" customHeight="true" outlineLevel="0" collapsed="false">
      <c r="B12" s="24" t="s">
        <v>118</v>
      </c>
      <c r="C12" s="1"/>
      <c r="D12" s="1"/>
      <c r="E12" s="1"/>
      <c r="F12" s="1"/>
      <c r="G12" s="1"/>
    </row>
    <row r="13" customFormat="false" ht="15" hidden="false" customHeight="false" outlineLevel="0" collapsed="false">
      <c r="B13" s="20" t="s">
        <v>119</v>
      </c>
      <c r="C13" s="32" t="n">
        <f aca="false">(11*Inputs!$D$13-Inputs!$C$22)/Inputs!$C$21</f>
        <v>57.0090504069685</v>
      </c>
    </row>
    <row r="14" customFormat="false" ht="15" hidden="false" customHeight="false" outlineLevel="0" collapsed="false">
      <c r="B14" s="20" t="s">
        <v>120</v>
      </c>
      <c r="C14" s="32" t="n">
        <f aca="false">(13.5*Inputs!$D$13-Inputs!$C$22)/Inputs!$C$21</f>
        <v>74.1002755961731</v>
      </c>
    </row>
    <row r="15" customFormat="false" ht="15" hidden="false" customHeight="false" outlineLevel="0" collapsed="false">
      <c r="B15" s="20" t="s">
        <v>121</v>
      </c>
      <c r="C15" s="36" t="str">
        <f aca="false">TEXT(57.2,"0.00")&amp;" – "&amp;TEXT(73.8,"0.00")</f>
        <v>57.20 – 73.80</v>
      </c>
    </row>
    <row r="16" customFormat="false" ht="15" hidden="false" customHeight="false" outlineLevel="0" collapsed="false">
      <c r="B16" s="20" t="s">
        <v>122</v>
      </c>
      <c r="C16" s="32" t="n">
        <f aca="false">14*Inputs!$D$16</f>
        <v>55.86</v>
      </c>
    </row>
    <row r="17" customFormat="false" ht="15" hidden="false" customHeight="false" outlineLevel="0" collapsed="false">
      <c r="B17" s="20" t="s">
        <v>123</v>
      </c>
      <c r="C17" s="32" t="n">
        <f aca="false">19*Inputs!$D$16</f>
        <v>75.81</v>
      </c>
    </row>
    <row r="18" customFormat="false" ht="15" hidden="false" customHeight="false" outlineLevel="0" collapsed="false">
      <c r="B18" s="20" t="s">
        <v>124</v>
      </c>
      <c r="C18" s="36" t="str">
        <f aca="false">TEXT(55.9,"0.00")&amp;" – "&amp;TEXT(75.7,"0.00")</f>
        <v>55.90 – 75.70</v>
      </c>
    </row>
    <row r="19" customFormat="false" ht="15" hidden="false" customHeight="false" outlineLevel="0" collapsed="false">
      <c r="B19" s="20" t="s">
        <v>125</v>
      </c>
      <c r="C19" s="36" t="str">
        <f aca="false">TEXT(14.3,"0.0")&amp;"x / "&amp;TEXT(14.9,"0.0")&amp;"x / "&amp;TEXT(14.5,"0.0")&amp;"x"</f>
        <v>14.3x / 14.9x / 14.5x</v>
      </c>
    </row>
    <row r="20" customFormat="false" ht="15" hidden="false" customHeight="false" outlineLevel="0" collapsed="false">
      <c r="B20" s="20" t="s">
        <v>126</v>
      </c>
      <c r="C20" s="36" t="str">
        <f aca="false">TEXT(9.1,"0.0")&amp;"x / "&amp;TEXT(12.1,"0.0")&amp;"x / "&amp;TEXT(9.4,"0.0")&amp;"x"</f>
        <v>9.1x / 12.1x / 9.4x</v>
      </c>
    </row>
    <row r="22" customFormat="false" ht="15.75" hidden="false" customHeight="true" outlineLevel="0" collapsed="false">
      <c r="B22" s="24" t="s">
        <v>127</v>
      </c>
      <c r="C22" s="1"/>
      <c r="D22" s="1"/>
      <c r="E22" s="1"/>
      <c r="F22" s="1"/>
      <c r="G22" s="1"/>
    </row>
    <row r="23" customFormat="false" ht="22.35" hidden="false" customHeight="false" outlineLevel="0" collapsed="false">
      <c r="B23" s="25" t="s">
        <v>128</v>
      </c>
      <c r="C23" s="33" t="n">
        <f aca="false">(90.2-78.1)*Inputs!$C$21/(17.5-15.5)</f>
        <v>2124.78184553661</v>
      </c>
      <c r="G23" s="27" t="s">
        <v>129</v>
      </c>
    </row>
    <row r="24" customFormat="false" ht="15" hidden="false" customHeight="false" outlineLevel="0" collapsed="false">
      <c r="B24" s="20" t="s">
        <v>130</v>
      </c>
      <c r="C24" s="32" t="n">
        <f aca="false">(15.5*Lazard!$C$23-Inputs!$C$22)/Inputs!$C$21</f>
        <v>75.5826595744682</v>
      </c>
    </row>
    <row r="25" customFormat="false" ht="15" hidden="false" customHeight="false" outlineLevel="0" collapsed="false">
      <c r="B25" s="20" t="s">
        <v>131</v>
      </c>
      <c r="C25" s="32" t="n">
        <f aca="false">(17.5*Lazard!$C$23-Inputs!$C$22)/Inputs!$C$21</f>
        <v>87.6826595744682</v>
      </c>
    </row>
    <row r="26" customFormat="false" ht="15" hidden="false" customHeight="false" outlineLevel="0" collapsed="false">
      <c r="B26" s="20" t="s">
        <v>132</v>
      </c>
      <c r="C26" s="36" t="str">
        <f aca="false">TEXT(78.1,"0.00")&amp;" – "&amp;TEXT(90.2,"0.00")</f>
        <v>78.10 – 90.20</v>
      </c>
    </row>
    <row r="27" customFormat="false" ht="15" hidden="false" customHeight="false" outlineLevel="0" collapsed="false">
      <c r="B27" s="25" t="s">
        <v>133</v>
      </c>
      <c r="C27" s="37" t="n">
        <f aca="false">(Inputs!$C$5*Inputs!$C$21+Inputs!$C$22)/Lazard!$C$23</f>
        <v>16.8086513100053</v>
      </c>
    </row>
    <row r="29" customFormat="false" ht="15.75" hidden="false" customHeight="true" outlineLevel="0" collapsed="false">
      <c r="B29" s="24" t="s">
        <v>134</v>
      </c>
      <c r="C29" s="1"/>
      <c r="D29" s="1"/>
      <c r="E29" s="1"/>
      <c r="F29" s="1"/>
      <c r="G29" s="1"/>
    </row>
    <row r="30" customFormat="false" ht="15" hidden="false" customHeight="false" outlineLevel="0" collapsed="false">
      <c r="B30" s="20" t="s">
        <v>135</v>
      </c>
      <c r="C30" s="32" t="n">
        <f aca="false">Inputs!$C$6*(1+0.2)</f>
        <v>75.576</v>
      </c>
    </row>
    <row r="31" customFormat="false" ht="15" hidden="false" customHeight="false" outlineLevel="0" collapsed="false">
      <c r="B31" s="20" t="s">
        <v>136</v>
      </c>
      <c r="C31" s="32" t="n">
        <f aca="false">Inputs!$C$6*(1+0.35)</f>
        <v>85.023</v>
      </c>
    </row>
    <row r="32" customFormat="false" ht="15" hidden="false" customHeight="false" outlineLevel="0" collapsed="false">
      <c r="B32" s="20" t="s">
        <v>137</v>
      </c>
      <c r="C32" s="36" t="str">
        <f aca="false">TEXT(75.6,"0.00")&amp;" – "&amp;TEXT(85.1,"0.00")</f>
        <v>75.60 – 85.10</v>
      </c>
    </row>
    <row r="33" customFormat="false" ht="15" hidden="false" customHeight="false" outlineLevel="0" collapsed="false">
      <c r="B33" s="20" t="s">
        <v>138</v>
      </c>
      <c r="C33" s="26" t="n">
        <v>56.07</v>
      </c>
    </row>
    <row r="34" customFormat="false" ht="15" hidden="false" customHeight="false" outlineLevel="0" collapsed="false">
      <c r="B34" s="20" t="s">
        <v>139</v>
      </c>
      <c r="C34" s="26" t="n">
        <v>68.22</v>
      </c>
    </row>
    <row r="35" customFormat="false" ht="15" hidden="false" customHeight="false" outlineLevel="0" collapsed="false">
      <c r="B35" s="20" t="s">
        <v>140</v>
      </c>
      <c r="C35" s="26" t="n">
        <v>48.62</v>
      </c>
    </row>
    <row r="36" customFormat="false" ht="15" hidden="false" customHeight="false" outlineLevel="0" collapsed="false">
      <c r="B36" s="20" t="s">
        <v>139</v>
      </c>
      <c r="C36" s="26" t="n">
        <v>62.98</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&amp;L&amp;"Arial,Bold"&amp;8Kellanova / Mars — Fairness Opinion Replication&amp;R&amp;"Arial,Regular"&amp;8Lazard</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7" min="3" style="0" width="12"/>
    <col collapsed="false" customWidth="true" hidden="false" outlineLevel="0" max="8" min="8" style="0" width="40"/>
  </cols>
  <sheetData>
    <row r="1" customFormat="false" ht="30" hidden="false" customHeight="true" outlineLevel="0" collapsed="false">
      <c r="A1" s="1"/>
      <c r="B1" s="21" t="s">
        <v>35</v>
      </c>
      <c r="C1" s="1"/>
      <c r="D1" s="1"/>
      <c r="E1" s="1"/>
      <c r="F1" s="1"/>
      <c r="G1" s="1"/>
      <c r="H1" s="22" t="s">
        <v>36</v>
      </c>
    </row>
    <row r="2" customFormat="false" ht="18" hidden="false" customHeight="true" outlineLevel="0" collapsed="false">
      <c r="A2" s="1"/>
      <c r="B2" s="23" t="s">
        <v>141</v>
      </c>
      <c r="C2" s="1"/>
      <c r="D2" s="1"/>
      <c r="E2" s="1"/>
      <c r="F2" s="1"/>
      <c r="G2" s="1"/>
      <c r="H2" s="1"/>
    </row>
    <row r="4" customFormat="false" ht="15.75" hidden="false" customHeight="true" outlineLevel="0" collapsed="false">
      <c r="B4" s="24" t="s">
        <v>142</v>
      </c>
      <c r="C4" s="1"/>
      <c r="D4" s="1"/>
      <c r="E4" s="1"/>
      <c r="F4" s="1"/>
      <c r="G4" s="1"/>
      <c r="H4" s="1"/>
    </row>
    <row r="5" customFormat="false" ht="27.75" hidden="false" customHeight="true" outlineLevel="0" collapsed="false">
      <c r="B5" s="25" t="s">
        <v>143</v>
      </c>
      <c r="C5" s="39" t="s">
        <v>144</v>
      </c>
      <c r="D5" s="39" t="s">
        <v>145</v>
      </c>
      <c r="E5" s="39" t="s">
        <v>146</v>
      </c>
      <c r="F5" s="39" t="s">
        <v>147</v>
      </c>
      <c r="G5" s="39" t="s">
        <v>148</v>
      </c>
      <c r="H5" s="39" t="s">
        <v>149</v>
      </c>
    </row>
    <row r="6" customFormat="false" ht="15" hidden="false" customHeight="false" outlineLevel="0" collapsed="false">
      <c r="B6" s="25" t="s">
        <v>150</v>
      </c>
      <c r="C6" s="40" t="n">
        <f aca="false">'Goldman Sachs'!$C$8</f>
        <v>67.787740395948</v>
      </c>
      <c r="D6" s="40" t="n">
        <f aca="false">'Goldman Sachs'!$C$9</f>
        <v>83.1897750715692</v>
      </c>
      <c r="E6" s="26" t="n">
        <v>68.42</v>
      </c>
      <c r="F6" s="26" t="n">
        <v>83.82</v>
      </c>
      <c r="G6" s="41" t="str">
        <f aca="false">IF(AND(Inputs!$C$5&gt;=E6,Inputs!$C$5&lt;=F6),"Inside",IF(Inputs!$C$5&gt;F6,"Above","Below"))</f>
        <v>Inside</v>
      </c>
      <c r="H6" s="32" t="n">
        <f aca="false">MAX(ABS(C6-E6),ABS(D6-F6))</f>
        <v>0.63225960405201</v>
      </c>
    </row>
    <row r="7" customFormat="false" ht="15" hidden="false" customHeight="false" outlineLevel="0" collapsed="false">
      <c r="B7" s="25" t="s">
        <v>151</v>
      </c>
      <c r="C7" s="40" t="n">
        <f aca="false">'Goldman Sachs'!$C$18</f>
        <v>60.6497782785806</v>
      </c>
      <c r="D7" s="40" t="n">
        <f aca="false">'Goldman Sachs'!$C$19</f>
        <v>86.3747191808772</v>
      </c>
      <c r="E7" s="26" t="n">
        <v>60.93</v>
      </c>
      <c r="F7" s="26" t="n">
        <v>90.01</v>
      </c>
      <c r="G7" s="41" t="str">
        <f aca="false">IF(AND(Inputs!$C$5&gt;=E7,Inputs!$C$5&lt;=F7),"Inside",IF(Inputs!$C$5&gt;F7,"Above","Below"))</f>
        <v>Inside</v>
      </c>
      <c r="H7" s="32" t="n">
        <f aca="false">MAX(ABS(C7-E7),ABS(D7-F7))</f>
        <v>3.63528081912278</v>
      </c>
    </row>
    <row r="8" customFormat="false" ht="15" hidden="false" customHeight="false" outlineLevel="0" collapsed="false">
      <c r="B8" s="25" t="s">
        <v>152</v>
      </c>
      <c r="C8" s="40" t="n">
        <f aca="false">'Goldman Sachs'!$C$23</f>
        <v>71.7972</v>
      </c>
      <c r="D8" s="40" t="n">
        <f aca="false">'Goldman Sachs'!$C$24</f>
        <v>83.1336</v>
      </c>
      <c r="E8" s="26" t="n">
        <v>71.8</v>
      </c>
      <c r="F8" s="26" t="n">
        <v>83.13</v>
      </c>
      <c r="G8" s="41" t="str">
        <f aca="false">IF(AND(Inputs!$C$5&gt;=E8,Inputs!$C$5&lt;=F8),"Inside",IF(Inputs!$C$5&gt;F8,"Above","Below"))</f>
        <v>Above</v>
      </c>
      <c r="H8" s="32" t="n">
        <f aca="false">MAX(ABS(C8-E8),ABS(D8-F8))</f>
        <v>0.00360000000000582</v>
      </c>
    </row>
    <row r="9" customFormat="false" ht="15" hidden="false" customHeight="false" outlineLevel="0" collapsed="false">
      <c r="B9" s="25" t="s">
        <v>153</v>
      </c>
      <c r="C9" s="40" t="n">
        <f aca="false">'Goldman Sachs'!$C$26</f>
        <v>67.3886</v>
      </c>
      <c r="D9" s="40" t="n">
        <f aca="false">'Goldman Sachs'!$C$27</f>
        <v>77.4654</v>
      </c>
      <c r="E9" s="26" t="n">
        <v>67.39</v>
      </c>
      <c r="F9" s="26" t="n">
        <v>77.47</v>
      </c>
      <c r="G9" s="41" t="str">
        <f aca="false">IF(AND(Inputs!$C$5&gt;=E9,Inputs!$C$5&lt;=F9),"Inside",IF(Inputs!$C$5&gt;F9,"Above","Below"))</f>
        <v>Above</v>
      </c>
      <c r="H9" s="32" t="n">
        <f aca="false">MAX(ABS(C9-E9),ABS(D9-F9))</f>
        <v>0.0046000000000106</v>
      </c>
    </row>
    <row r="10" customFormat="false" ht="15" hidden="false" customHeight="false" outlineLevel="0" collapsed="false">
      <c r="B10" s="25" t="s">
        <v>154</v>
      </c>
      <c r="C10" s="40" t="n">
        <f aca="false">'Goldman Sachs'!$C$32</f>
        <v>58.81</v>
      </c>
      <c r="D10" s="40" t="n">
        <f aca="false">'Goldman Sachs'!$C$33</f>
        <v>118.63</v>
      </c>
      <c r="E10" s="26" t="n">
        <v>58.81</v>
      </c>
      <c r="F10" s="26" t="n">
        <v>118.63</v>
      </c>
      <c r="G10" s="41" t="str">
        <f aca="false">IF(AND(Inputs!$C$5&gt;=E10,Inputs!$C$5&lt;=F10),"Inside",IF(Inputs!$C$5&gt;F10,"Above","Below"))</f>
        <v>Inside</v>
      </c>
      <c r="H10" s="32" t="n">
        <f aca="false">MAX(ABS(C10-E10),ABS(D10-F10))</f>
        <v>0</v>
      </c>
    </row>
    <row r="11" customFormat="false" ht="15" hidden="false" customHeight="false" outlineLevel="0" collapsed="false">
      <c r="B11" s="25" t="s">
        <v>155</v>
      </c>
      <c r="C11" s="40" t="n">
        <f aca="false">Lazard!$C$5</f>
        <v>61.0738025085406</v>
      </c>
      <c r="D11" s="40" t="n">
        <f aca="false">Lazard!$C$6</f>
        <v>78.7633778573351</v>
      </c>
      <c r="E11" s="26" t="n">
        <v>69.6</v>
      </c>
      <c r="F11" s="26" t="n">
        <v>79.1</v>
      </c>
      <c r="G11" s="41" t="str">
        <f aca="false">IF(AND(Inputs!$C$5&gt;=E11,Inputs!$C$5&lt;=F11),"Inside",IF(Inputs!$C$5&gt;F11,"Above","Below"))</f>
        <v>Above</v>
      </c>
      <c r="H11" s="32" t="n">
        <f aca="false">MAX(ABS(C11-E11),ABS(D11-F11))</f>
        <v>8.52619749145936</v>
      </c>
    </row>
    <row r="12" customFormat="false" ht="15" hidden="false" customHeight="false" outlineLevel="0" collapsed="false">
      <c r="B12" s="25" t="s">
        <v>156</v>
      </c>
      <c r="C12" s="40" t="n">
        <f aca="false">Lazard!$C$13</f>
        <v>57.0090504069685</v>
      </c>
      <c r="D12" s="40" t="n">
        <f aca="false">Lazard!$C$14</f>
        <v>74.1002755961731</v>
      </c>
      <c r="E12" s="26" t="n">
        <v>57.2</v>
      </c>
      <c r="F12" s="26" t="n">
        <v>73.8</v>
      </c>
      <c r="G12" s="41" t="str">
        <f aca="false">IF(AND(Inputs!$C$5&gt;=E12,Inputs!$C$5&lt;=F12),"Inside",IF(Inputs!$C$5&gt;F12,"Above","Below"))</f>
        <v>Above</v>
      </c>
      <c r="H12" s="32" t="n">
        <f aca="false">MAX(ABS(C12-E12),ABS(D12-F12))</f>
        <v>0.30027559617308</v>
      </c>
    </row>
    <row r="13" customFormat="false" ht="15" hidden="false" customHeight="false" outlineLevel="0" collapsed="false">
      <c r="B13" s="25" t="s">
        <v>157</v>
      </c>
      <c r="C13" s="40" t="n">
        <f aca="false">Lazard!$C$16</f>
        <v>55.86</v>
      </c>
      <c r="D13" s="40" t="n">
        <f aca="false">Lazard!$C$17</f>
        <v>75.81</v>
      </c>
      <c r="E13" s="26" t="n">
        <v>55.9</v>
      </c>
      <c r="F13" s="26" t="n">
        <v>75.7</v>
      </c>
      <c r="G13" s="41" t="str">
        <f aca="false">IF(AND(Inputs!$C$5&gt;=E13,Inputs!$C$5&lt;=F13),"Inside",IF(Inputs!$C$5&gt;F13,"Above","Below"))</f>
        <v>Above</v>
      </c>
      <c r="H13" s="32" t="n">
        <f aca="false">MAX(ABS(C13-E13),ABS(D13-F13))</f>
        <v>0.109999999999999</v>
      </c>
    </row>
    <row r="14" customFormat="false" ht="15" hidden="false" customHeight="false" outlineLevel="0" collapsed="false">
      <c r="B14" s="25" t="s">
        <v>158</v>
      </c>
      <c r="C14" s="40" t="n">
        <f aca="false">Lazard!$C$24</f>
        <v>75.5826595744682</v>
      </c>
      <c r="D14" s="40" t="n">
        <f aca="false">Lazard!$C$25</f>
        <v>87.6826595744682</v>
      </c>
      <c r="E14" s="26" t="n">
        <v>78.1</v>
      </c>
      <c r="F14" s="26" t="n">
        <v>90.2</v>
      </c>
      <c r="G14" s="41" t="str">
        <f aca="false">IF(AND(Inputs!$C$5&gt;=E14,Inputs!$C$5&lt;=F14),"Inside",IF(Inputs!$C$5&gt;F14,"Above","Below"))</f>
        <v>Inside</v>
      </c>
      <c r="H14" s="32" t="n">
        <f aca="false">MAX(ABS(C14-E14),ABS(D14-F14))</f>
        <v>2.51734042553184</v>
      </c>
    </row>
    <row r="15" customFormat="false" ht="15" hidden="false" customHeight="false" outlineLevel="0" collapsed="false">
      <c r="B15" s="25" t="s">
        <v>159</v>
      </c>
      <c r="C15" s="40" t="n">
        <f aca="false">Lazard!$C$30</f>
        <v>75.576</v>
      </c>
      <c r="D15" s="40" t="n">
        <f aca="false">Lazard!$C$31</f>
        <v>85.023</v>
      </c>
      <c r="E15" s="26" t="n">
        <v>75.6</v>
      </c>
      <c r="F15" s="26" t="n">
        <v>85.1</v>
      </c>
      <c r="G15" s="41" t="str">
        <f aca="false">IF(AND(Inputs!$C$5&gt;=E15,Inputs!$C$5&lt;=F15),"Inside",IF(Inputs!$C$5&gt;F15,"Above","Below"))</f>
        <v>Inside</v>
      </c>
      <c r="H15" s="32" t="n">
        <f aca="false">MAX(ABS(C15-E15),ABS(D15-F15))</f>
        <v>0.0769999999999982</v>
      </c>
    </row>
    <row r="16" customFormat="false" ht="15" hidden="false" customHeight="false" outlineLevel="0" collapsed="false">
      <c r="B16" s="25" t="s">
        <v>160</v>
      </c>
      <c r="C16" s="40" t="n">
        <f aca="false">Lazard!$C$33</f>
        <v>56.07</v>
      </c>
      <c r="D16" s="40" t="n">
        <f aca="false">Lazard!$C$34</f>
        <v>68.22</v>
      </c>
      <c r="E16" s="26" t="n">
        <v>56.07</v>
      </c>
      <c r="F16" s="26" t="n">
        <v>68.22</v>
      </c>
      <c r="G16" s="41" t="str">
        <f aca="false">IF(AND(Inputs!$C$5&gt;=E16,Inputs!$C$5&lt;=F16),"Inside",IF(Inputs!$C$5&gt;F16,"Above","Below"))</f>
        <v>Above</v>
      </c>
      <c r="H16" s="32" t="n">
        <f aca="false">MAX(ABS(C16-E16),ABS(D16-F16))</f>
        <v>0</v>
      </c>
    </row>
    <row r="17" customFormat="false" ht="15" hidden="false" customHeight="false" outlineLevel="0" collapsed="false">
      <c r="B17" s="25" t="s">
        <v>161</v>
      </c>
      <c r="C17" s="40" t="n">
        <f aca="false">Lazard!$C$35</f>
        <v>48.62</v>
      </c>
      <c r="D17" s="40" t="n">
        <f aca="false">Lazard!$C$36</f>
        <v>62.98</v>
      </c>
      <c r="E17" s="26" t="n">
        <v>48.62</v>
      </c>
      <c r="F17" s="26" t="n">
        <v>62.98</v>
      </c>
      <c r="G17" s="41" t="str">
        <f aca="false">IF(AND(Inputs!$C$5&gt;=E17,Inputs!$C$5&lt;=F17),"Inside",IF(Inputs!$C$5&gt;F17,"Above","Below"))</f>
        <v>Above</v>
      </c>
      <c r="H17" s="32" t="n">
        <f aca="false">MAX(ABS(C17-E17),ABS(D17-F17))</f>
        <v>0</v>
      </c>
    </row>
    <row r="19" customFormat="false" ht="15" hidden="false" customHeight="false" outlineLevel="0" collapsed="false">
      <c r="B19" s="25" t="s">
        <v>162</v>
      </c>
      <c r="C19" s="42" t="n">
        <f aca="false">COUNTIF(G6:G17,"Above")</f>
        <v>7</v>
      </c>
    </row>
    <row r="20" customFormat="false" ht="15" hidden="false" customHeight="false" outlineLevel="0" collapsed="false">
      <c r="B20" s="25" t="s">
        <v>163</v>
      </c>
      <c r="C20" s="42" t="n">
        <f aca="false">COUNTIF(G6:G17,"Inside")</f>
        <v>5</v>
      </c>
    </row>
    <row r="21" customFormat="false" ht="15" hidden="false" customHeight="false" outlineLevel="0" collapsed="false">
      <c r="B21" s="25" t="s">
        <v>164</v>
      </c>
      <c r="C21" s="42" t="n">
        <f aca="false">COUNTIF(G6:G17,"Below")</f>
        <v>0</v>
      </c>
    </row>
    <row r="22" customFormat="false" ht="15" hidden="false" customHeight="false" outlineLevel="0" collapsed="false">
      <c r="B22" s="25" t="s">
        <v>165</v>
      </c>
      <c r="C22" s="32" t="n">
        <f aca="false">MAX(H6:H17)</f>
        <v>8.52619749145936</v>
      </c>
    </row>
    <row r="23" customFormat="false" ht="15" hidden="false" customHeight="false" outlineLevel="0" collapsed="false">
      <c r="B23" s="20" t="s">
        <v>166</v>
      </c>
      <c r="C23" s="32" t="n">
        <f aca="false">MAX(H6,H8:H10,H12:H17)</f>
        <v>2.51734042553184</v>
      </c>
    </row>
    <row r="24" customFormat="false" ht="15" hidden="false" customHeight="false" outlineLevel="0" collapsed="false">
      <c r="B24" s="20" t="s">
        <v>167</v>
      </c>
      <c r="C24" s="32" t="n">
        <f aca="false">ABS(D11-F11)</f>
        <v>0.336622142664908</v>
      </c>
    </row>
    <row r="25" customFormat="false" ht="15" hidden="false" customHeight="false" outlineLevel="0" collapsed="false">
      <c r="B25" s="20" t="s">
        <v>168</v>
      </c>
      <c r="C25" s="32" t="n">
        <f aca="false">MAX(D6:D10,D11:D14)</f>
        <v>118.63</v>
      </c>
    </row>
    <row r="26" customFormat="false" ht="51.75" hidden="false" customHeight="true" outlineLevel="0" collapsed="false">
      <c r="B26" s="19" t="s">
        <v>169</v>
      </c>
      <c r="C26" s="19"/>
      <c r="D26" s="19"/>
      <c r="E26" s="19"/>
      <c r="F26" s="19"/>
      <c r="G26" s="19"/>
      <c r="H26" s="19"/>
    </row>
  </sheetData>
  <mergeCells count="1">
    <mergeCell ref="B26:H2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&amp;L&amp;"Arial,Bold"&amp;8Kellanova / Mars — Fairness Opinion Replication&amp;R&amp;"Arial,Regular"&amp;8Football Field</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4"/>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1" t="s">
        <v>35</v>
      </c>
      <c r="C1" s="1"/>
      <c r="D1" s="1"/>
      <c r="E1" s="1"/>
      <c r="F1" s="22" t="s">
        <v>36</v>
      </c>
    </row>
    <row r="2" customFormat="false" ht="18" hidden="false" customHeight="true" outlineLevel="0" collapsed="false">
      <c r="A2" s="1"/>
      <c r="B2" s="23" t="s">
        <v>170</v>
      </c>
      <c r="C2" s="1"/>
      <c r="D2" s="1"/>
      <c r="E2" s="1"/>
      <c r="F2" s="1"/>
    </row>
    <row r="4" customFormat="false" ht="15.75" hidden="false" customHeight="true" outlineLevel="0" collapsed="false">
      <c r="B4" s="24" t="s">
        <v>171</v>
      </c>
      <c r="C4" s="1"/>
      <c r="D4" s="1"/>
      <c r="E4" s="1"/>
      <c r="F4" s="1"/>
    </row>
    <row r="5" customFormat="false" ht="15" hidden="false" customHeight="false" outlineLevel="0" collapsed="false">
      <c r="B5" s="25" t="s">
        <v>172</v>
      </c>
      <c r="C5" s="40" t="n">
        <f aca="false">Inputs!$C$5</f>
        <v>83.5</v>
      </c>
    </row>
    <row r="6" customFormat="false" ht="15" hidden="false" customHeight="false" outlineLevel="0" collapsed="false">
      <c r="B6" s="25" t="s">
        <v>173</v>
      </c>
      <c r="C6" s="43" t="n">
        <f aca="false">Inputs!$C$7</f>
        <v>0.325817719911083</v>
      </c>
    </row>
    <row r="7" customFormat="false" ht="15" hidden="false" customHeight="false" outlineLevel="0" collapsed="false">
      <c r="B7" s="20" t="s">
        <v>174</v>
      </c>
      <c r="C7" s="35" t="n">
        <f aca="false">Inputs!$C$5*Inputs!$C$21</f>
        <v>29325.5015045135</v>
      </c>
    </row>
    <row r="8" customFormat="false" ht="15" hidden="false" customHeight="false" outlineLevel="0" collapsed="false">
      <c r="B8" s="20" t="s">
        <v>175</v>
      </c>
      <c r="C8" s="35" t="n">
        <f aca="false">Inputs!$C$5*Inputs!$C$21+Inputs!$C$22</f>
        <v>35714.7171514544</v>
      </c>
    </row>
    <row r="9" customFormat="false" ht="15" hidden="false" customHeight="false" outlineLevel="0" collapsed="false">
      <c r="B9" s="25" t="s">
        <v>176</v>
      </c>
      <c r="C9" s="44" t="str">
        <f aca="false">TEXT('Goldman Sachs'!$C$35,"0.0")&amp;"x · "&amp;TEXT('Goldman Sachs'!$C$36,"0.0")&amp;"x · "&amp;TEXT(Lazard!$C$27,"0.0")&amp;"x"</f>
        <v>16.0x · 14.9x · 16.8x</v>
      </c>
    </row>
    <row r="11" customFormat="false" ht="15.75" hidden="false" customHeight="true" outlineLevel="0" collapsed="false">
      <c r="B11" s="24" t="s">
        <v>177</v>
      </c>
      <c r="C11" s="1"/>
      <c r="D11" s="1"/>
      <c r="E11" s="1"/>
      <c r="F11" s="1"/>
    </row>
    <row r="12" customFormat="false" ht="15" hidden="false" customHeight="false" outlineLevel="0" collapsed="false">
      <c r="B12" s="20" t="s">
        <v>178</v>
      </c>
      <c r="C12" s="44" t="str">
        <f aca="false">TEXT('Goldman Sachs'!$C$8,"0.00")&amp;"–"&amp;TEXT('Goldman Sachs'!$C$9,"0.00")&amp;"  vs  68.42–83.82"</f>
        <v>67.79–83.19  vs  68.42–83.82</v>
      </c>
    </row>
    <row r="13" customFormat="false" ht="15" hidden="false" customHeight="false" outlineLevel="0" collapsed="false">
      <c r="B13" s="20" t="s">
        <v>179</v>
      </c>
      <c r="C13" s="44" t="str">
        <f aca="false">TEXT(Lazard!$C$5,"0.00")&amp;"–"&amp;TEXT(Lazard!$C$6,"0.00")&amp;"  vs  69.60–79.10"</f>
        <v>61.07–78.76  vs  69.60–79.10</v>
      </c>
    </row>
    <row r="14" customFormat="false" ht="15" hidden="false" customHeight="false" outlineLevel="0" collapsed="false">
      <c r="B14" s="20" t="s">
        <v>180</v>
      </c>
      <c r="C14" s="44" t="str">
        <f aca="false">TEXT(Lazard!$C$13,"0.00")&amp;"–"&amp;TEXT(Lazard!$C$14,"0.00")&amp;"  vs  57.20–73.80"</f>
        <v>57.01–74.10  vs  57.20–73.80</v>
      </c>
    </row>
    <row r="15" customFormat="false" ht="15" hidden="false" customHeight="false" outlineLevel="0" collapsed="false">
      <c r="B15" s="25" t="s">
        <v>181</v>
      </c>
      <c r="C15" s="40" t="n">
        <f aca="false">'Football Field'!$C$23</f>
        <v>2.51734042553184</v>
      </c>
    </row>
    <row r="16" customFormat="false" ht="15" hidden="false" customHeight="false" outlineLevel="0" collapsed="false">
      <c r="B16" s="25" t="s">
        <v>182</v>
      </c>
      <c r="C16" s="45" t="str">
        <f aca="false">'Football Field'!$C$19&amp;" / "&amp;'Football Field'!$C$20&amp;" / "&amp;'Football Field'!$C$21</f>
        <v>7 / 5 / 0</v>
      </c>
    </row>
    <row r="18" customFormat="false" ht="90" hidden="false" customHeight="true" outlineLevel="0" collapsed="false">
      <c r="B18" s="19" t="s">
        <v>183</v>
      </c>
      <c r="C18" s="19"/>
      <c r="D18" s="19"/>
      <c r="E18" s="19"/>
      <c r="F18" s="19"/>
    </row>
    <row r="19" customFormat="false" ht="60" hidden="false" customHeight="true" outlineLevel="0" collapsed="false">
      <c r="B19" s="19" t="s">
        <v>184</v>
      </c>
      <c r="C19" s="19"/>
      <c r="D19" s="19"/>
      <c r="E19" s="19"/>
      <c r="F19" s="19"/>
    </row>
    <row r="20" customFormat="false" ht="45" hidden="false" customHeight="true" outlineLevel="0" collapsed="false">
      <c r="B20" s="19" t="s">
        <v>185</v>
      </c>
      <c r="C20" s="19"/>
      <c r="D20" s="19"/>
      <c r="E20" s="19"/>
      <c r="F20" s="19"/>
    </row>
    <row r="21" customFormat="false" ht="60" hidden="false" customHeight="true" outlineLevel="0" collapsed="false">
      <c r="B21" s="19" t="s">
        <v>186</v>
      </c>
      <c r="C21" s="19"/>
      <c r="D21" s="19"/>
      <c r="E21" s="19"/>
      <c r="F21" s="19"/>
    </row>
  </sheetData>
  <mergeCells count="4">
    <mergeCell ref="B18:F18"/>
    <mergeCell ref="B19:F19"/>
    <mergeCell ref="B20:F20"/>
    <mergeCell ref="B21:F21"/>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&amp;L&amp;"Arial,Bold"&amp;8Kellanova / Mars — Fairness Opinion Replication&amp;R&amp;"Arial,Regular"&amp;8Summary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1" t="s">
        <v>35</v>
      </c>
      <c r="C1" s="1"/>
      <c r="D1" s="1"/>
      <c r="E1" s="22" t="s">
        <v>36</v>
      </c>
    </row>
    <row r="2" customFormat="false" ht="18" hidden="false" customHeight="true" outlineLevel="0" collapsed="false">
      <c r="A2" s="1"/>
      <c r="B2" s="23" t="s">
        <v>187</v>
      </c>
      <c r="C2" s="1"/>
      <c r="D2" s="1"/>
      <c r="E2" s="1"/>
    </row>
    <row r="4" customFormat="false" ht="15.75" hidden="false" customHeight="true" outlineLevel="0" collapsed="false">
      <c r="B4" s="24" t="s">
        <v>188</v>
      </c>
      <c r="C4" s="1"/>
      <c r="D4" s="1"/>
      <c r="E4" s="1"/>
    </row>
    <row r="5" customFormat="false" ht="15" hidden="false" customHeight="false" outlineLevel="0" collapsed="false">
      <c r="B5" s="20" t="s">
        <v>189</v>
      </c>
      <c r="C5" s="46" t="b">
        <f aca="false">AND(Inputs!$C$21&gt;Inputs!$C$8,Inputs!$C$21&lt;Inputs!$C$8*1.05)</f>
        <v>1</v>
      </c>
    </row>
    <row r="6" customFormat="false" ht="15" hidden="false" customHeight="false" outlineLevel="0" collapsed="false">
      <c r="B6" s="20" t="s">
        <v>190</v>
      </c>
      <c r="C6" s="46" t="b">
        <f aca="false">AND(ABS('Goldman Sachs'!$C$32-58.81)&lt;0.01,ABS('Goldman Sachs'!$C$33-118.63)&lt;0.01)</f>
        <v>1</v>
      </c>
    </row>
    <row r="7" customFormat="false" ht="15" hidden="false" customHeight="false" outlineLevel="0" collapsed="false">
      <c r="B7" s="20" t="s">
        <v>191</v>
      </c>
      <c r="C7" s="46" t="b">
        <f aca="false">AND(ABS('Goldman Sachs'!$C$8-68.42)&lt;2.5,ABS('Goldman Sachs'!$C$9-83.82)&lt;2.5)</f>
        <v>1</v>
      </c>
    </row>
    <row r="8" customFormat="false" ht="15" hidden="false" customHeight="false" outlineLevel="0" collapsed="false">
      <c r="B8" s="20" t="s">
        <v>192</v>
      </c>
      <c r="C8" s="46" t="b">
        <f aca="false">AND('Goldman Sachs'!$C$11&lt;0.015,'Goldman Sachs'!$C$12&gt;0.02)</f>
        <v>1</v>
      </c>
    </row>
    <row r="9" customFormat="false" ht="15" hidden="false" customHeight="false" outlineLevel="0" collapsed="false">
      <c r="B9" s="20" t="s">
        <v>193</v>
      </c>
      <c r="C9" s="46" t="b">
        <f aca="false">AND(ABS('Goldman Sachs'!$C$23-71.8)&lt;0.01,ABS('Goldman Sachs'!$C$24-83.13)&lt;0.01,ABS('Goldman Sachs'!$C$26-67.39)&lt;0.01,ABS('Goldman Sachs'!$C$27-77.47)&lt;0.01)</f>
        <v>1</v>
      </c>
    </row>
    <row r="10" customFormat="false" ht="15" hidden="false" customHeight="false" outlineLevel="0" collapsed="false">
      <c r="B10" s="20" t="s">
        <v>194</v>
      </c>
      <c r="C10" s="46" t="b">
        <f aca="false">AND(ABS('Goldman Sachs'!$C$18-60.93)&lt;5,ABS('Goldman Sachs'!$C$19-90.01)&lt;5)</f>
        <v>1</v>
      </c>
    </row>
    <row r="11" customFormat="false" ht="15" hidden="false" customHeight="false" outlineLevel="0" collapsed="false">
      <c r="B11" s="20" t="s">
        <v>195</v>
      </c>
      <c r="C11" s="46" t="b">
        <f aca="false">ABS(Lazard!$C$6-79.1)&lt;2.5</f>
        <v>1</v>
      </c>
    </row>
    <row r="12" customFormat="false" ht="15" hidden="false" customHeight="false" outlineLevel="0" collapsed="false">
      <c r="B12" s="20" t="s">
        <v>196</v>
      </c>
      <c r="C12" s="46" t="b">
        <f aca="false">AND(Lazard!$C$8&gt;Inputs!$F$15,Lazard!$C$8&lt;Inputs!$F$14*1.05)</f>
        <v>1</v>
      </c>
    </row>
    <row r="13" customFormat="false" ht="15" hidden="false" customHeight="false" outlineLevel="0" collapsed="false">
      <c r="B13" s="20" t="s">
        <v>197</v>
      </c>
      <c r="C13" s="46" t="b">
        <f aca="false">AND(ABS(Lazard!$C$13-57.2)&lt;2.5,ABS(Lazard!$C$14-73.8)&lt;2.5)</f>
        <v>1</v>
      </c>
    </row>
    <row r="14" customFormat="false" ht="15" hidden="false" customHeight="false" outlineLevel="0" collapsed="false">
      <c r="B14" s="20" t="s">
        <v>198</v>
      </c>
      <c r="C14" s="46" t="b">
        <f aca="false">AND(ABS(Lazard!$C$16-55.9)&lt;0.2,ABS(Lazard!$C$17-75.7)&lt;0.2)</f>
        <v>1</v>
      </c>
    </row>
    <row r="15" customFormat="false" ht="15" hidden="false" customHeight="false" outlineLevel="0" collapsed="false">
      <c r="B15" s="20" t="s">
        <v>199</v>
      </c>
      <c r="C15" s="46" t="b">
        <f aca="false">AND(ABS(Lazard!$C$30-75.6)&lt;0.1,ABS(Lazard!$C$31-85.1)&lt;0.1)</f>
        <v>1</v>
      </c>
    </row>
    <row r="16" customFormat="false" ht="15" hidden="false" customHeight="false" outlineLevel="0" collapsed="false">
      <c r="B16" s="20" t="s">
        <v>200</v>
      </c>
      <c r="C16" s="46" t="b">
        <f aca="false">AND(Lazard!$C$23&gt;1900,Lazard!$C$23&lt;Inputs!$C$13)</f>
        <v>1</v>
      </c>
    </row>
    <row r="17" customFormat="false" ht="15" hidden="false" customHeight="false" outlineLevel="0" collapsed="false">
      <c r="B17" s="20" t="s">
        <v>201</v>
      </c>
      <c r="C17" s="46" t="b">
        <f aca="false">AND(Inputs!$C$5&gt;=68.42,Inputs!$C$5&lt;=83.82,Inputs!$C$5&gt;79.1,Inputs!$C$5&lt;='Goldman Sachs'!$C$9+2.5,Inputs!$C$5&gt;Lazard!$C$6)</f>
        <v>1</v>
      </c>
    </row>
    <row r="18" customFormat="false" ht="15" hidden="false" customHeight="false" outlineLevel="0" collapsed="false">
      <c r="B18" s="20" t="s">
        <v>202</v>
      </c>
      <c r="C18" s="46" t="b">
        <f aca="false">AND(Inputs!$C$5&gt;Lazard!$C$14,Inputs!$C$5&gt;Lazard!$C$17)</f>
        <v>1</v>
      </c>
    </row>
    <row r="19" customFormat="false" ht="15" hidden="false" customHeight="false" outlineLevel="0" collapsed="false">
      <c r="B19" s="20" t="s">
        <v>203</v>
      </c>
      <c r="C19" s="46" t="b">
        <f aca="false">'Football Field'!$C$19+'Football Field'!$C$20+'Football Field'!$C$21=12</f>
        <v>1</v>
      </c>
    </row>
    <row r="21" customFormat="false" ht="15" hidden="false" customHeight="false" outlineLevel="0" collapsed="false">
      <c r="B21" s="47" t="s">
        <v>204</v>
      </c>
      <c r="C21" s="48" t="str">
        <f aca="false">IF(COUNTIF(C5:C19,FALSE())=0,"MODEL OK","CHECK FAILED")</f>
        <v>MODEL OK</v>
      </c>
    </row>
    <row r="23" customFormat="false" ht="33.75" hidden="false" customHeight="true" outlineLevel="0" collapsed="false">
      <c r="B23" s="19" t="s">
        <v>205</v>
      </c>
      <c r="C23" s="19"/>
      <c r="D23" s="19"/>
      <c r="E23" s="19"/>
    </row>
  </sheetData>
  <mergeCells count="1">
    <mergeCell ref="B23:E2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&amp;L&amp;"Arial,Bold"&amp;8Kellanova / Mars — Fairness Opinion Replication&amp;R&amp;"Arial,Regular"&amp;8Checks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2026-09-18T09:15:27Z</dcterms:created>
  <dc:creator>openpyxl</dc:creator>
  <dc:description/>
  <dc:language>en-US</dc:language>
  <cp:lastModifiedBy/>
  <dcterms:modified xsi:type="dcterms:W3CDTF">2026-09-18T09:15:27Z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