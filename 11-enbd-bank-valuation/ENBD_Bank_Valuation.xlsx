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Forecast" sheetId="3" state="visible" r:id="rId5"/>
    <sheet name="DDM" sheetId="4" state="visible" r:id="rId6"/>
    <sheet name="Excess Return" sheetId="5" state="visible" r:id="rId7"/>
    <sheet name="Justified Multiples" sheetId="6" state="visible" r:id="rId8"/>
    <sheet name="Sensitivity" sheetId="7" state="visible" r:id="rId9"/>
    <sheet name="Summary" sheetId="8" state="visible" r:id="rId10"/>
    <sheet name="Checks" sheetId="9" state="visible" r:id="rId11"/>
  </sheets>
  <definedNames>
    <definedName function="false" hidden="false" localSheetId="8" name="_xlnm.Print_Area" vbProcedure="false">Checks!$A$1:$E$22</definedName>
    <definedName function="false" hidden="false" localSheetId="0" name="_xlnm.Print_Area" vbProcedure="false">Cover!$A$1:$F$45</definedName>
    <definedName function="false" hidden="false" localSheetId="3" name="_xlnm.Print_Area" vbProcedure="false">DDM!$A$1:$I$23</definedName>
    <definedName function="false" hidden="false" localSheetId="4" name="_xlnm.Print_Area" vbProcedure="false">'Excess Return'!$A$1:$I$28</definedName>
    <definedName function="false" hidden="false" localSheetId="2" name="_xlnm.Print_Area" vbProcedure="false">Forecast!$A$1:$I$26</definedName>
    <definedName function="false" hidden="false" localSheetId="1" name="_xlnm.Print_Area" vbProcedure="false">Inputs!$A$1:$F$39</definedName>
    <definedName function="false" hidden="false" localSheetId="5" name="_xlnm.Print_Area" vbProcedure="false">'Justified Multiples'!$A$1:$F$18</definedName>
    <definedName function="false" hidden="false" localSheetId="6" name="_xlnm.Print_Area" vbProcedure="false">Sensitivity!$A$1:$H$20</definedName>
    <definedName function="false" hidden="false" localSheetId="7" name="_xlnm.Print_Area" vbProcedure="false">Summary!$A$1:$F$27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<sst xmlns="http://schemas.openxmlformats.org/spreadsheetml/2006/main" count="237" uniqueCount="199">
  <si>
    <t xml:space="preserve">IB PORTFOLIO · PROJECT 11 OF 20</t>
  </si>
  <si>
    <t xml:space="preserve">Emirates NBD</t>
  </si>
  <si>
    <t xml:space="preserve">Bank Valuation — Dividend Discount and Excess Return</t>
  </si>
  <si>
    <t xml:space="preserve">DFM: EMIRATESNBD   ·   AED millions · per-share values in AED   ·   as of FY2025 accounts · market data 18 Sep 2026</t>
  </si>
  <si>
    <t xml:space="preserve">What this is</t>
  </si>
  <si>
    <t xml:space="preserve">An equity-side valuation of Emirates NBD on the FY2025 audited accounts and 18 September 2026 market data. A five-year equity roll-forward under clean surplus feeds both a dividend discount model and an excess-return model; the two are forced to agree, the justified multiples are derived, and the share price is run backwards into the return on equity and the cost of equity it implies.</t>
  </si>
  <si>
    <t xml:space="preserve">How it is built</t>
  </si>
  <si>
    <t xml:space="preserve">•  Cost of equity built up from the US Treasury yield (the dirham is pegged), a UAE country risk premium, a mature-market equity premium and a stated beta.</t>
  </si>
  <si>
    <t xml:space="preserve">•  An equity roll-forward with ROE fading from 17% to a 14% terminal level and a payout that rises so retained earnings fund exactly the growth assumed; the terminal payout is derived, not typed.</t>
  </si>
  <si>
    <t xml:space="preserve">•  A dividend discount model with a Gordon terminal value, and an excess-return model starting from book value; the Checks sheet requires them to agree to the fils.</t>
  </si>
  <si>
    <t xml:space="preserve">•  Justified P/B and P/E, the market-implied ROE and cost of equity, and two closed-form sensitivity grids.</t>
  </si>
  <si>
    <t xml:space="preserve">Contents</t>
  </si>
  <si>
    <t xml:space="preserve">Summary  —  the bank today, the two values, what the price implies</t>
  </si>
  <si>
    <t xml:space="preserve">Forecast  —  equity roll-forward, EPS, DPS and BVPS, terminal year</t>
  </si>
  <si>
    <t xml:space="preserve">DDM  —  dividends discounted plus terminal value</t>
  </si>
  <si>
    <t xml:space="preserve">Excess Return  —  book value plus capitalised spread over the cost of equity</t>
  </si>
  <si>
    <t xml:space="preserve">Justified Multiples  —  P/B and P/E from fundamentals; implied ROE and cost of equity</t>
  </si>
  <si>
    <t xml:space="preserve">Sensitivity  —  cost of equity against growth and against terminal ROE</t>
  </si>
  <si>
    <t xml:space="preserve">Inputs  —  FY2025 accounts, market data, cost of equity, terminal assumptions</t>
  </si>
  <si>
    <t xml:space="preserve">Checks  —  fourteen tests; must read MODEL OK</t>
  </si>
  <si>
    <t xml:space="preserve">Key outputs (live)</t>
  </si>
  <si>
    <t xml:space="preserve">Return on equity, FY2025</t>
  </si>
  <si>
    <t xml:space="preserve">Cost of equity</t>
  </si>
  <si>
    <t xml:space="preserve">DDM value per share (AED)</t>
  </si>
  <si>
    <t xml:space="preserve">Excess-return value per share (AED)</t>
  </si>
  <si>
    <t xml:space="preserve">Upside / (downside)</t>
  </si>
  <si>
    <t xml:space="preserve">Sustainable ROE the price implies</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</si>
  <si>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</si>
  <si>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</si>
  <si>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</si>
  <si>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</si>
  <si>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</si>
  <si>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</si>
  <si>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Emirates NBD Bank PJSC FY2025 annual accounts, via the Yahoo Finance fundamentals series for EMIRATESNBD.AE; the same figures used in Project 6.</t>
  </si>
  <si>
    <t xml:space="preserve">Share price and 52-week range: Dubai Financial Market close, 18 September 2026.</t>
  </si>
  <si>
    <t xml:space="preserve">US Treasury yield, UAE country risk premium and equity risk premium: September 2026 market data and Damodaran's country tables; beta is a stated input.</t>
  </si>
  <si>
    <t xml:space="preserve">Nothing here is a recommendation. The valuation is an analytical exercise on public information.</t>
  </si>
  <si>
    <t xml:space="preserve">Prepared by</t>
  </si>
  <si>
    <t xml:space="preserve">Jainam Mehta · github.com/jainammehta1215/ib-portfolio</t>
  </si>
  <si>
    <t xml:space="preserve">Emirates NBD — Bank Valuation — Dividend Discount and Excess Return</t>
  </si>
  <si>
    <t xml:space="preserve">EMIRATES NBD</t>
  </si>
  <si>
    <t xml:space="preserve">FY2025 accounts, market data, cost of equity and terminal assumptions</t>
  </si>
  <si>
    <t xml:space="preserve">FY2025 ACCOUNTS (AED millions)</t>
  </si>
  <si>
    <t xml:space="preserve">Net profit attributable to equity holders</t>
  </si>
  <si>
    <t xml:space="preserve">As in Project 6</t>
  </si>
  <si>
    <t xml:space="preserve">Net profit, FY2024</t>
  </si>
  <si>
    <t xml:space="preserve">Shareholders' equity, 31 December 2025</t>
  </si>
  <si>
    <t xml:space="preserve">Shareholders' equity, 31 December 2024</t>
  </si>
  <si>
    <t xml:space="preserve">Goodwill and intangibles</t>
  </si>
  <si>
    <t xml:space="preserve">Tangible book value</t>
  </si>
  <si>
    <t xml:space="preserve">Cash dividends paid in 2025</t>
  </si>
  <si>
    <t xml:space="preserve">AED 1.00 per share</t>
  </si>
  <si>
    <t xml:space="preserve">Total assets</t>
  </si>
  <si>
    <t xml:space="preserve">Return on average equity, FY2025</t>
  </si>
  <si>
    <t xml:space="preserve">Return on average tangible equity, FY2025</t>
  </si>
  <si>
    <t xml:space="preserve">Dividend payout, FY2025</t>
  </si>
  <si>
    <t xml:space="preserve">Return on assets, FY2025</t>
  </si>
  <si>
    <t xml:space="preserve">MARKET DATA</t>
  </si>
  <si>
    <t xml:space="preserve">Share price (AED, DFM close 18 Sep 2026)</t>
  </si>
  <si>
    <t xml:space="preserve">Shares outstanding (millions)</t>
  </si>
  <si>
    <t xml:space="preserve">Market capitalisation</t>
  </si>
  <si>
    <t xml:space="preserve">Book value per share (AED)</t>
  </si>
  <si>
    <t xml:space="preserve">Tangible book value per share (AED)</t>
  </si>
  <si>
    <t xml:space="preserve">Price / book</t>
  </si>
  <si>
    <t xml:space="preserve">Price / tangible book</t>
  </si>
  <si>
    <t xml:space="preserve">Price / FY2025 earnings</t>
  </si>
  <si>
    <t xml:space="preserve">Dividend yield on the last dividend</t>
  </si>
  <si>
    <t xml:space="preserve">COST OF EQUITY</t>
  </si>
  <si>
    <t xml:space="preserve">Risk-free rate (10-year US Treasury; the dirham is pegged)</t>
  </si>
  <si>
    <t xml:space="preserve">September 2026</t>
  </si>
  <si>
    <t xml:space="preserve">UAE country risk premium</t>
  </si>
  <si>
    <t xml:space="preserve">Damodaran country tables for an Aa2 sovereign, rounded up for oil-price and regional concentration</t>
  </si>
  <si>
    <t xml:space="preserve">Mature-market equity risk premium</t>
  </si>
  <si>
    <t xml:space="preserve">Beta versus the DFM General Index</t>
  </si>
  <si>
    <t xml:space="preserve">Large domestic banks sit close to their index; stated input</t>
  </si>
  <si>
    <t xml:space="preserve">TERMINAL ASSUMPTIONS</t>
  </si>
  <si>
    <t xml:space="preserve">Long-run growth in earnings and book value</t>
  </si>
  <si>
    <t xml:space="preserve">Nominal UAE GDP trend less some share loss; must be below the cost of equity</t>
  </si>
  <si>
    <t xml:space="preserve">Terminal return on equity</t>
  </si>
  <si>
    <t xml:space="preserve">Below today's 17%: rate cuts compress margins and capital builds</t>
  </si>
  <si>
    <t xml:space="preserve">Terminal payout (1 − g / ROE, so book grows at g)</t>
  </si>
  <si>
    <t xml:space="preserve">Not a free input. If payout and growth are set independently the two models diverge</t>
  </si>
  <si>
    <t xml:space="preserve">Equity roll-forward under clean surplus: closing book = opening book + earnings − dividends</t>
  </si>
  <si>
    <t xml:space="preserve">EQUITY ROLL-FORWARD (AED millions)</t>
  </si>
  <si>
    <t xml:space="preserve">FY2025A</t>
  </si>
  <si>
    <t xml:space="preserve">FY2026E</t>
  </si>
  <si>
    <t xml:space="preserve">FY2027E</t>
  </si>
  <si>
    <t xml:space="preserve">FY2028E</t>
  </si>
  <si>
    <t xml:space="preserve">FY2029E</t>
  </si>
  <si>
    <t xml:space="preserve">FY2030E</t>
  </si>
  <si>
    <t xml:space="preserve">Opening shareholders' equity</t>
  </si>
  <si>
    <t xml:space="preserve">   Return on opening equity</t>
  </si>
  <si>
    <t xml:space="preserve">Net profit</t>
  </si>
  <si>
    <t xml:space="preserve">   Payout ratio</t>
  </si>
  <si>
    <t xml:space="preserve">Dividends</t>
  </si>
  <si>
    <t xml:space="preserve">Closing shareholders' equity</t>
  </si>
  <si>
    <t xml:space="preserve">   Growth in book value</t>
  </si>
  <si>
    <t xml:space="preserve">   Growth in net profit</t>
  </si>
  <si>
    <t xml:space="preserve">PER SHARE (AED)</t>
  </si>
  <si>
    <t xml:space="preserve">Earnings per share</t>
  </si>
  <si>
    <t xml:space="preserve">Dividend per share</t>
  </si>
  <si>
    <t xml:space="preserve">Book value per share (closing)</t>
  </si>
  <si>
    <t xml:space="preserve">TERMINAL YEAR (FY2031E, the first year of steady state)</t>
  </si>
  <si>
    <t xml:space="preserve">Opening equity</t>
  </si>
  <si>
    <t xml:space="preserve">Net profit at the terminal ROE</t>
  </si>
  <si>
    <t xml:space="preserve">Dividends at the terminal payout</t>
  </si>
  <si>
    <t xml:space="preserve">Closing equity</t>
  </si>
  <si>
    <t xml:space="preserve">Implied growth in book (must equal g)</t>
  </si>
  <si>
    <t xml:space="preserve">FY2025A closing equity is the reported figure, so the historical column absorbs other comprehensive income and any capital movements in that year. From FY2026E clean surplus is enforced exactly. The ROE path fades from the FY2025 level toward the terminal assumption; the payout rises so that retained earnings fund only the growth assumed.</t>
  </si>
  <si>
    <t xml:space="preserve">Dividend discount model — explicit dividends plus a Gordon terminal value</t>
  </si>
  <si>
    <t xml:space="preserve">PRESENT VALUE OF DIVIDENDS</t>
  </si>
  <si>
    <t xml:space="preserve">Year</t>
  </si>
  <si>
    <t xml:space="preserve">Discount factor at the cost of equity</t>
  </si>
  <si>
    <t xml:space="preserve">Present value</t>
  </si>
  <si>
    <t xml:space="preserve">TERMINAL VALUE</t>
  </si>
  <si>
    <t xml:space="preserve">Terminal value at end FY2030E: FY2031E dividend / (ke − g)</t>
  </si>
  <si>
    <t xml:space="preserve">Present value of terminal value</t>
  </si>
  <si>
    <t xml:space="preserve">Terminal value / terminal opening book (implied exit P/B)</t>
  </si>
  <si>
    <t xml:space="preserve">Should sit close to the justified P/B at the terminal ROE</t>
  </si>
  <si>
    <t xml:space="preserve">EQUITY VALUE</t>
  </si>
  <si>
    <t xml:space="preserve">Sum of present values of dividends</t>
  </si>
  <si>
    <t xml:space="preserve">Equity value</t>
  </si>
  <si>
    <t xml:space="preserve">Terminal value as % of equity value</t>
  </si>
  <si>
    <t xml:space="preserve">Value per share (AED)</t>
  </si>
  <si>
    <t xml:space="preserve">Upside / (downside) to the share price</t>
  </si>
  <si>
    <t xml:space="preserve">Implied price / book on FY2025 equity</t>
  </si>
  <si>
    <t xml:space="preserve">Implied price / FY2025 earnings</t>
  </si>
  <si>
    <t xml:space="preserve">Book value today plus the present value of returns earned above the cost of equity</t>
  </si>
  <si>
    <t xml:space="preserve">EXCESS RETURNS (AED millions)</t>
  </si>
  <si>
    <t xml:space="preserve">Return on opening equity</t>
  </si>
  <si>
    <t xml:space="preserve">Spread: ROE − cost of equity</t>
  </si>
  <si>
    <t xml:space="preserve">Excess return: spread × opening equity</t>
  </si>
  <si>
    <t xml:space="preserve">Discount factor</t>
  </si>
  <si>
    <t xml:space="preserve">Present value of excess return</t>
  </si>
  <si>
    <t xml:space="preserve">TERMINAL EXCESS RETURN</t>
  </si>
  <si>
    <t xml:space="preserve">FY2031E excess return: (terminal ROE − ke) × opening equity</t>
  </si>
  <si>
    <t xml:space="preserve">Terminal value of excess returns at end FY2030E: ER / (ke − g)</t>
  </si>
  <si>
    <t xml:space="preserve">EQUITY VALUE BUILT UP</t>
  </si>
  <si>
    <t xml:space="preserve">Book value today (31 December 2025)</t>
  </si>
  <si>
    <t xml:space="preserve">Add: present value of explicit excess returns</t>
  </si>
  <si>
    <t xml:space="preserve">Add: present value of terminal excess returns</t>
  </si>
  <si>
    <t xml:space="preserve">Share of value that is book value already on the balance sheet</t>
  </si>
  <si>
    <t xml:space="preserve">Share of value that is future excess returns</t>
  </si>
  <si>
    <t xml:space="preserve">Difference from the DDM value per share (AED, should be nil)</t>
  </si>
  <si>
    <t xml:space="preserve">The two models agree because the forecast obeys clean surplus and the terminal payout is derived from the terminal ROE and growth rather than set by hand. The excess-return layout says where the value comes from: most of it is book value the bank already holds, and the premium to book is the capitalised spread of ROE over the cost of equity.</t>
  </si>
  <si>
    <t xml:space="preserve">What P/B and P/E the fundamentals justify, and what the price implies</t>
  </si>
  <si>
    <t xml:space="preserve">JUSTIFIED PRICE / BOOK: (ROE − g) / (ke − g)</t>
  </si>
  <si>
    <t xml:space="preserve">At FY2025 return on equity</t>
  </si>
  <si>
    <t xml:space="preserve">At the terminal return on equity</t>
  </si>
  <si>
    <t xml:space="preserve">Market price / book today</t>
  </si>
  <si>
    <t xml:space="preserve">Model price / book (DDM equity value / FY2025 book)</t>
  </si>
  <si>
    <t xml:space="preserve">WHAT THE PRICE IMPLIES</t>
  </si>
  <si>
    <t xml:space="preserve">Sustainable ROE the price implies at the model cost of equity: g + P/B × (ke − g)</t>
  </si>
  <si>
    <t xml:space="preserve">If you believe the cost of equity, this is the return the market expects the bank to sustain</t>
  </si>
  <si>
    <t xml:space="preserve">Cost of equity the price implies at the terminal ROE: g + (ROE − g) / P/B</t>
  </si>
  <si>
    <t xml:space="preserve">If you believe the terminal ROE, this is the discount rate the market is using</t>
  </si>
  <si>
    <t xml:space="preserve">JUSTIFIED PRICE / EARNINGS: payout × (1 + g) / (ke − g)</t>
  </si>
  <si>
    <t xml:space="preserve">At the terminal payout and growth</t>
  </si>
  <si>
    <t xml:space="preserve">Market price / FY2025 earnings</t>
  </si>
  <si>
    <t xml:space="preserve">The justified P/B formula is the excess-return model collapsed to one line: a bank earning exactly its cost of equity is worth book, and every point of ROE above it adds 1/(ke − g) turns of book. It is the fastest way to see whether a bank's multiple and its returns are telling the same story.</t>
  </si>
  <si>
    <t xml:space="preserve">Value per share (AED) — closed-form, every cell rebuilds the terminal value</t>
  </si>
  <si>
    <t xml:space="preserve">COST OF EQUITY (rows) versus LONG-RUN GROWTH (columns), terminal ROE at base</t>
  </si>
  <si>
    <t xml:space="preserve">↓ rows  \  columns →</t>
  </si>
  <si>
    <t xml:space="preserve">COST OF EQUITY (rows) versus TERMINAL ROE (columns), growth at base</t>
  </si>
  <si>
    <t xml:space="preserve">The grids hold the explicit five-year dividend path fixed and rebuild only the discounting and the terminal value, which is where nearly all the sensitivity lives. The base cell reconciles to the DDM sheet exactly.</t>
  </si>
  <si>
    <t xml:space="preserve">The bank valuation on one page</t>
  </si>
  <si>
    <t xml:space="preserve">THE BANK TODAY</t>
  </si>
  <si>
    <t xml:space="preserve">Share price (AED)</t>
  </si>
  <si>
    <t xml:space="preserve">Cost of equity used</t>
  </si>
  <si>
    <t xml:space="preserve">THE TWO MODELS</t>
  </si>
  <si>
    <t xml:space="preserve">Dividend discount value per share (AED)</t>
  </si>
  <si>
    <t xml:space="preserve">Upside / (downside) to the price</t>
  </si>
  <si>
    <t xml:space="preserve">Implied price / book at the model value</t>
  </si>
  <si>
    <t xml:space="preserve">Share of value that is book value already held</t>
  </si>
  <si>
    <t xml:space="preserve">Terminal value as % of the DDM value</t>
  </si>
  <si>
    <t xml:space="preserve">Justified P/B at the terminal ROE</t>
  </si>
  <si>
    <t xml:space="preserve">Cost of equity the price implies at the terminal ROE</t>
  </si>
  <si>
    <t xml:space="preserve">•  Two methods, one forecast, one answer: the dividend model and the excess-return model agree to the fils because the forecast obeys clean surplus. If they ever disagree, the forecast is wrong, not the methods.</t>
  </si>
  <si>
    <t xml:space="preserve">•  The market pays 1.35x book for a bank earning 17% on equity. At a 10% cost of equity that multiple is justified only if returns fade to about 11%; the fade built in here stops at 14% and lands well above the price. Either the market expects a harder landing for UAE bank margins, or it discounts them at a higher rate than a country-risk build-up gives.</t>
  </si>
  <si>
    <t xml:space="preserve">•  The valuation is a bet on the spread between ROE and the cost of equity, and almost nothing else. A half-point on the cost of equity moves the value by about two dirhams; a point on the terminal ROE by about the same.</t>
  </si>
  <si>
    <t xml:space="preserve">•  The excess-return split is the useful framing for a bank: just over half the value is book already on the balance sheet, and the market price sits only a third of the way from book to the model value. The argument is entirely about how long a 17% return can last.</t>
  </si>
  <si>
    <t xml:space="preserve">Every check must read TRUE</t>
  </si>
  <si>
    <t xml:space="preserve">INTEGRITY CHECKS</t>
  </si>
  <si>
    <t xml:space="preserve">FY2025 equity, earnings and shares tie to Project 6</t>
  </si>
  <si>
    <t xml:space="preserve">Clean surplus holds in every forecast year (closing = opening + profit − dividends)</t>
  </si>
  <si>
    <t xml:space="preserve">Opening equity each year equals the prior year's closing equity</t>
  </si>
  <si>
    <t xml:space="preserve">Terminal book grows at exactly g</t>
  </si>
  <si>
    <t xml:space="preserve">Long-run growth is below the cost of equity</t>
  </si>
  <si>
    <t xml:space="preserve">Terminal ROE is above the cost of equity (otherwise excess returns are negative)</t>
  </si>
  <si>
    <t xml:space="preserve">Terminal ROE is not above the FY2025 ROE (the fade is a fade)</t>
  </si>
  <si>
    <t xml:space="preserve">Payout rises through the forecast</t>
  </si>
  <si>
    <t xml:space="preserve">DDM and excess-return values agree to within AED 0.001 per share</t>
  </si>
  <si>
    <t xml:space="preserve">DDM terminal exit P/B is within 0.1x of the justified P/B at the terminal ROE</t>
  </si>
  <si>
    <t xml:space="preserve">Base sensitivity cell reconciles to the DDM value</t>
  </si>
  <si>
    <t xml:space="preserve">Market P/B reconciles to price times shares over equity</t>
  </si>
  <si>
    <t xml:space="preserve">Implied ROE at the market price reproduces the market P/B</t>
  </si>
  <si>
    <t xml:space="preserve">Share price lies within the 52-week range</t>
  </si>
  <si>
    <t xml:space="preserve">MODEL STATUS</t>
  </si>
  <si>
    <t xml:space="preserve">The ninth check is the one that matters: two different valuation methods built on the same forecast must produce the same number. It fails the model the moment someone edits the terminal payout by hand.</t>
  </si>
</sst>
</file>

<file path=xl/styles.xml><?xml version="1.0" encoding="utf-8"?>
<styleSheet xmlns="http://schemas.openxmlformats.org/spreadsheetml/2006/main">
  <numFmts count="8">
    <numFmt numFmtId="164" formatCode="General"/>
    <numFmt numFmtId="165" formatCode="0.0%;\(0.0%\);\-"/>
    <numFmt numFmtId="166" formatCode="#,##0.00;\(#,##0.00\);\-"/>
    <numFmt numFmtId="167" formatCode="#,##0;\(#,##0\);\-"/>
    <numFmt numFmtId="168" formatCode="0.0\x"/>
    <numFmt numFmtId="169" formatCode="0"/>
    <numFmt numFmtId="170" formatCode="0.0000"/>
    <numFmt numFmtId="171" formatCode="General"/>
  </numFmts>
  <fonts count="21">
    <font>
      <sz val="11"/>
      <color theme="1"/>
      <name val="Calibri"/>
      <family val="2"/>
      <charset val="1"/>
    </font>
    <font>
      <sz val="10"/>
      <name val="Arial"/>
      <family val="0"/>
    </font>
    <font>
      <sz val="10"/>
      <name val="Arial"/>
      <family val="0"/>
    </font>
    <font>
      <sz val="10"/>
      <name val="Arial"/>
      <family val="0"/>
    </font>
    <font>
      <b val="true"/>
      <sz val="9"/>
      <color rgb="FF5BA4D9"/>
      <name val="Arial"/>
      <family val="0"/>
      <charset val="1"/>
    </font>
    <font>
      <b val="true"/>
      <sz val="24"/>
      <color rgb="FF0B2B57"/>
      <name val="Arial"/>
      <family val="0"/>
      <charset val="1"/>
    </font>
    <font>
      <sz val="15"/>
      <color rgb="FF5C6E8A"/>
      <name val="Arial"/>
      <family val="0"/>
      <charset val="1"/>
    </font>
    <font>
      <i val="true"/>
      <sz val="9"/>
      <color rgb="FF7F7F7F"/>
      <name val="Arial"/>
      <family val="0"/>
      <charset val="1"/>
    </font>
    <font>
      <b val="true"/>
      <sz val="10"/>
      <color rgb="FF0B2B57"/>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2"/>
      <color rgb="FF0B2B57"/>
      <name val="Arial"/>
      <family val="0"/>
      <charset val="1"/>
    </font>
    <font>
      <b val="true"/>
      <sz val="12"/>
      <name val="Arial"/>
      <family val="0"/>
      <charset val="1"/>
    </font>
  </fonts>
  <fills count="6">
    <fill>
      <patternFill patternType="none"/>
    </fill>
    <fill>
      <patternFill patternType="gray125"/>
    </fill>
    <fill>
      <patternFill patternType="solid">
        <fgColor rgb="FF0B2B57"/>
        <bgColor rgb="FF333333"/>
      </patternFill>
    </fill>
    <fill>
      <patternFill patternType="solid">
        <fgColor rgb="FF5BA4D9"/>
        <bgColor rgb="FF33CCCC"/>
      </patternFill>
    </fill>
    <fill>
      <patternFill patternType="solid">
        <fgColor rgb="FFEAF0F8"/>
        <bgColor rgb="FFFFFFFF"/>
      </patternFill>
    </fill>
    <fill>
      <patternFill patternType="solid">
        <fgColor rgb="FF5C6E8A"/>
        <bgColor rgb="FF7F7F7F"/>
      </patternFill>
    </fill>
  </fills>
  <borders count="3">
    <border diagonalUp="false" diagonalDown="false">
      <left/>
      <right/>
      <top/>
      <bottom/>
      <diagonal/>
    </border>
    <border diagonalUp="false" diagonalDown="false">
      <left/>
      <right/>
      <top style="thin"/>
      <bottom style="double"/>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false" indent="0" shrinkToFit="false"/>
      <protection locked="true" hidden="false"/>
    </xf>
    <xf numFmtId="167" fontId="13" fillId="0" borderId="2" xfId="0" applyFont="true" applyBorder="tru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17" fillId="5" borderId="0" xfId="0" applyFont="true" applyBorder="false" applyAlignment="true" applyProtection="false">
      <alignment horizontal="center"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6" fontId="18" fillId="3"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71" fontId="13"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5BA4D9"/>
      <rgbColor rgb="FF993366"/>
      <rgbColor rgb="FFFFFFCC"/>
      <rgbColor rgb="FFEAF0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C6E8A"/>
      <rgbColor rgb="FF969696"/>
      <rgbColor rgb="FF0B2B5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NBD_Bank_Valuation.xlsx" TargetMode="External"/><Relationship Id="rId2" Type="http://schemas.openxmlformats.org/officeDocument/2006/relationships/hyperlink" Target="ENBD_Bank_Valuation.xlsx" TargetMode="External"/><Relationship Id="rId3" Type="http://schemas.openxmlformats.org/officeDocument/2006/relationships/hyperlink" Target="ENBD_Bank_Valuation.xlsx" TargetMode="External"/><Relationship Id="rId4" Type="http://schemas.openxmlformats.org/officeDocument/2006/relationships/hyperlink" Target="ENBD_Bank_Valuation.xlsx" TargetMode="External"/><Relationship Id="rId5" Type="http://schemas.openxmlformats.org/officeDocument/2006/relationships/hyperlink" Target="ENBD_Bank_Valuation.xlsx" TargetMode="External"/><Relationship Id="rId6" Type="http://schemas.openxmlformats.org/officeDocument/2006/relationships/hyperlink" Target="ENBD_Bank_Valuation.xlsx" TargetMode="External"/><Relationship Id="rId7" Type="http://schemas.openxmlformats.org/officeDocument/2006/relationships/hyperlink" Target="ENBD_Bank_Valuation.xlsx" TargetMode="External"/><Relationship Id="rId8" Type="http://schemas.openxmlformats.org/officeDocument/2006/relationships/hyperlink" Target="ENBD_Bank_Valuation.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75" hidden="false" customHeight="true" outlineLevel="0" collapsed="false">
      <c r="A9" s="1"/>
      <c r="B9" s="7" t="s">
        <v>4</v>
      </c>
      <c r="C9" s="8" t="s">
        <v>5</v>
      </c>
      <c r="D9" s="8"/>
      <c r="E9" s="8"/>
      <c r="F9" s="8"/>
    </row>
    <row r="10" customFormat="false" ht="15" hidden="false" customHeight="false" outlineLevel="0" collapsed="false">
      <c r="A10" s="1"/>
    </row>
    <row r="11" customFormat="false" ht="30" hidden="false" customHeight="true" outlineLevel="0" collapsed="false">
      <c r="A11" s="1"/>
      <c r="B11" s="7" t="s">
        <v>6</v>
      </c>
      <c r="C11" s="8" t="s">
        <v>7</v>
      </c>
      <c r="D11" s="8"/>
      <c r="E11" s="8"/>
      <c r="F11" s="8"/>
    </row>
    <row r="12" customFormat="false" ht="45" hidden="false" customHeight="true" outlineLevel="0" collapsed="false">
      <c r="A12" s="1"/>
      <c r="C12" s="8" t="s">
        <v>8</v>
      </c>
      <c r="D12" s="8"/>
      <c r="E12" s="8"/>
      <c r="F12" s="8"/>
    </row>
    <row r="13" customFormat="false" ht="30" hidden="false" customHeight="true" outlineLevel="0" collapsed="false">
      <c r="A13" s="1"/>
      <c r="C13" s="8" t="s">
        <v>9</v>
      </c>
      <c r="D13" s="8"/>
      <c r="E13" s="8"/>
      <c r="F13" s="8"/>
    </row>
    <row r="14" customFormat="false" ht="30"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c r="C22" s="9" t="s">
        <v>18</v>
      </c>
      <c r="D22" s="9"/>
      <c r="E22" s="9"/>
      <c r="F22" s="9"/>
    </row>
    <row r="23" customFormat="false" ht="15" hidden="false" customHeight="false" outlineLevel="0" collapsed="false">
      <c r="A23" s="1"/>
      <c r="C23" s="9" t="s">
        <v>19</v>
      </c>
      <c r="D23" s="9"/>
      <c r="E23" s="9"/>
      <c r="F23" s="9"/>
    </row>
    <row r="24" customFormat="false" ht="15" hidden="false" customHeight="false" outlineLevel="0" collapsed="false">
      <c r="A24" s="1"/>
    </row>
    <row r="25" customFormat="false" ht="15" hidden="false" customHeight="false" outlineLevel="0" collapsed="false">
      <c r="A25" s="1"/>
      <c r="B25" s="7" t="s">
        <v>20</v>
      </c>
      <c r="C25" s="10" t="s">
        <v>21</v>
      </c>
      <c r="D25" s="11"/>
      <c r="E25" s="12" t="n">
        <f aca="false">Inputs!$C$13</f>
        <v>0.173277353162929</v>
      </c>
    </row>
    <row r="26" customFormat="false" ht="15" hidden="false" customHeight="false" outlineLevel="0" collapsed="false">
      <c r="A26" s="1"/>
      <c r="C26" s="10" t="s">
        <v>22</v>
      </c>
      <c r="D26" s="11"/>
      <c r="E26" s="12" t="n">
        <f aca="false">Inputs!$C$34</f>
        <v>0.1</v>
      </c>
    </row>
    <row r="27" customFormat="false" ht="15" hidden="false" customHeight="false" outlineLevel="0" collapsed="false">
      <c r="A27" s="1"/>
      <c r="C27" s="10" t="s">
        <v>23</v>
      </c>
      <c r="D27" s="11"/>
      <c r="E27" s="13" t="n">
        <f aca="false">DDM!$C$20</f>
        <v>41.7143827046775</v>
      </c>
    </row>
    <row r="28" customFormat="false" ht="15" hidden="false" customHeight="false" outlineLevel="0" collapsed="false">
      <c r="A28" s="1"/>
      <c r="C28" s="10" t="s">
        <v>24</v>
      </c>
      <c r="D28" s="11"/>
      <c r="E28" s="13" t="n">
        <f aca="false">'Excess Return'!$C$24</f>
        <v>41.7143827046775</v>
      </c>
    </row>
    <row r="29" customFormat="false" ht="15" hidden="false" customHeight="false" outlineLevel="0" collapsed="false">
      <c r="A29" s="1"/>
      <c r="C29" s="10" t="s">
        <v>25</v>
      </c>
      <c r="D29" s="11"/>
      <c r="E29" s="12" t="n">
        <f aca="false">DDM!$C$21</f>
        <v>0.346493954314962</v>
      </c>
    </row>
    <row r="30" customFormat="false" ht="15" hidden="false" customHeight="false" outlineLevel="0" collapsed="false">
      <c r="A30" s="1"/>
      <c r="C30" s="10" t="s">
        <v>26</v>
      </c>
      <c r="D30" s="11"/>
      <c r="E30" s="12" t="n">
        <f aca="false">'Justified Multiples'!$C$11</f>
        <v>0.124659325503866</v>
      </c>
    </row>
    <row r="31" customFormat="false" ht="15" hidden="false" customHeight="false" outlineLevel="0" collapsed="false">
      <c r="A31" s="1"/>
    </row>
    <row r="32" customFormat="false" ht="15" hidden="false" customHeight="false" outlineLevel="0" collapsed="false">
      <c r="A32" s="1"/>
      <c r="B32" s="7" t="s">
        <v>27</v>
      </c>
      <c r="C32" s="14" t="s">
        <v>28</v>
      </c>
    </row>
    <row r="33" customFormat="false" ht="15" hidden="false" customHeight="false" outlineLevel="0" collapsed="false">
      <c r="A33" s="1"/>
      <c r="C33" s="15" t="s">
        <v>29</v>
      </c>
    </row>
    <row r="34" customFormat="false" ht="15" hidden="false" customHeight="false" outlineLevel="0" collapsed="false">
      <c r="A34" s="1"/>
      <c r="C34" s="16" t="s">
        <v>30</v>
      </c>
    </row>
    <row r="35" customFormat="false" ht="15" hidden="false" customHeight="false" outlineLevel="0" collapsed="false">
      <c r="A35" s="1"/>
      <c r="C35" s="17" t="s">
        <v>31</v>
      </c>
    </row>
    <row r="36" customFormat="false" ht="15" hidden="false" customHeight="false" outlineLevel="0" collapsed="false">
      <c r="A36" s="1"/>
    </row>
    <row r="37" customFormat="false" ht="27.75" hidden="false" customHeight="true" outlineLevel="0" collapsed="false">
      <c r="A37" s="1"/>
      <c r="B37" s="7" t="s">
        <v>32</v>
      </c>
      <c r="C37" s="18" t="s">
        <v>33</v>
      </c>
      <c r="D37" s="18"/>
      <c r="E37" s="18"/>
      <c r="F37" s="18"/>
    </row>
    <row r="38" customFormat="false" ht="13.5" hidden="false" customHeight="true" outlineLevel="0" collapsed="false">
      <c r="A38" s="1"/>
      <c r="C38" s="18" t="s">
        <v>34</v>
      </c>
      <c r="D38" s="18"/>
      <c r="E38" s="18"/>
      <c r="F38" s="18"/>
    </row>
    <row r="39" customFormat="false" ht="27.75" hidden="false" customHeight="true" outlineLevel="0" collapsed="false">
      <c r="A39" s="1"/>
      <c r="C39" s="18" t="s">
        <v>35</v>
      </c>
      <c r="D39" s="18"/>
      <c r="E39" s="18"/>
      <c r="F39" s="18"/>
    </row>
    <row r="40" customFormat="false" ht="27.75" hidden="false" customHeight="true" outlineLevel="0" collapsed="false">
      <c r="A40" s="1"/>
      <c r="C40" s="18" t="s">
        <v>36</v>
      </c>
      <c r="D40" s="18"/>
      <c r="E40" s="18"/>
      <c r="F40" s="18"/>
    </row>
    <row r="41" customFormat="false" ht="15" hidden="false" customHeight="false" outlineLevel="0" collapsed="false">
      <c r="A41" s="1"/>
    </row>
    <row r="42" customFormat="false" ht="15" hidden="false" customHeight="false" outlineLevel="0" collapsed="false">
      <c r="A42" s="1"/>
      <c r="B42" s="7" t="s">
        <v>37</v>
      </c>
      <c r="C42" s="19" t="s">
        <v>38</v>
      </c>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7">
    <mergeCell ref="C9:F9"/>
    <mergeCell ref="C11:F11"/>
    <mergeCell ref="C12:F12"/>
    <mergeCell ref="C13:F13"/>
    <mergeCell ref="C14:F14"/>
    <mergeCell ref="C16:F16"/>
    <mergeCell ref="C17:F17"/>
    <mergeCell ref="C18:F18"/>
    <mergeCell ref="C19:F19"/>
    <mergeCell ref="C20:F20"/>
    <mergeCell ref="C21:F21"/>
    <mergeCell ref="C22:F22"/>
    <mergeCell ref="C23:F23"/>
    <mergeCell ref="C37:F37"/>
    <mergeCell ref="C38:F38"/>
    <mergeCell ref="C39:F39"/>
    <mergeCell ref="C40:F40"/>
  </mergeCells>
  <hyperlinks>
    <hyperlink ref="C16" r:id="rId1" location="'Summary'!A1" display="Summary  —  the bank today, the two values, what the price implies"/>
    <hyperlink ref="C17" r:id="rId2" location="'Forecast'!A1" display="Forecast  —  equity roll-forward, EPS, DPS and BVPS, terminal year"/>
    <hyperlink ref="C18" r:id="rId3" location="'DDM'!A1" display="DDM  —  dividends discounted plus terminal value"/>
    <hyperlink ref="C19" r:id="rId4" location="'Excess%20Return'!A1" display="Excess Return  —  book value plus capitalised spread over the cost of equity"/>
    <hyperlink ref="C20" r:id="rId5" location="'Justified%20Multiples'!A1" display="Justified Multiples  —  P/B and P/E from fundamentals; implied ROE and cost of equity"/>
    <hyperlink ref="C21" r:id="rId6" location="'Sensitivity'!A1" display="Sensitivity  —  cost of equity against growth and against terminal ROE"/>
    <hyperlink ref="C22" r:id="rId7" location="'Inputs'!A1" display="Inputs  —  FY2025 accounts, market data, cost of equity, terminal assumptions"/>
    <hyperlink ref="C23" r:id="rId8" location="'Checks'!A1" display="Checks  —  fourteen tests; must read MODEL OK"/>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&amp;L&amp;"Arial,Bold"&amp;8Emirates NBD — Bank Valuation — Dividend Discount and Excess Return&amp;R&amp;"Arial,Regular"&amp;8Cover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8"/>
    <col collapsed="false" customWidth="true" hidden="false" outlineLevel="0" max="5" min="3" style="0" width="15"/>
    <col collapsed="false" customWidth="true" hidden="false" outlineLevel="0" max="6" min="6" style="0" width="60"/>
  </cols>
  <sheetData>
    <row r="1" customFormat="false" ht="30" hidden="false" customHeight="true" outlineLevel="0" collapsed="false">
      <c r="A1" s="1"/>
      <c r="B1" s="20" t="s">
        <v>39</v>
      </c>
      <c r="C1" s="1"/>
      <c r="D1" s="1"/>
      <c r="E1" s="1"/>
      <c r="F1" s="21" t="s">
        <v>40</v>
      </c>
    </row>
    <row r="2" customFormat="false" ht="18" hidden="false" customHeight="true" outlineLevel="0" collapsed="false">
      <c r="A2" s="1"/>
      <c r="B2" s="22" t="s">
        <v>41</v>
      </c>
      <c r="C2" s="1"/>
      <c r="D2" s="1"/>
      <c r="E2" s="1"/>
      <c r="F2" s="1"/>
    </row>
    <row r="4" customFormat="false" ht="15.75" hidden="false" customHeight="true" outlineLevel="0" collapsed="false">
      <c r="B4" s="23" t="s">
        <v>42</v>
      </c>
      <c r="C4" s="1"/>
      <c r="D4" s="1"/>
      <c r="E4" s="1"/>
      <c r="F4" s="1"/>
    </row>
    <row r="5" customFormat="false" ht="15" hidden="false" customHeight="false" outlineLevel="0" collapsed="false">
      <c r="B5" s="19" t="s">
        <v>43</v>
      </c>
      <c r="C5" s="24" t="n">
        <v>23442</v>
      </c>
      <c r="F5" s="25" t="s">
        <v>44</v>
      </c>
    </row>
    <row r="6" customFormat="false" ht="15" hidden="false" customHeight="false" outlineLevel="0" collapsed="false">
      <c r="B6" s="19" t="s">
        <v>45</v>
      </c>
      <c r="C6" s="24" t="n">
        <v>22973</v>
      </c>
    </row>
    <row r="7" customFormat="false" ht="15" hidden="false" customHeight="false" outlineLevel="0" collapsed="false">
      <c r="B7" s="19" t="s">
        <v>46</v>
      </c>
      <c r="C7" s="24" t="n">
        <v>144582</v>
      </c>
    </row>
    <row r="8" customFormat="false" ht="15" hidden="false" customHeight="false" outlineLevel="0" collapsed="false">
      <c r="B8" s="19" t="s">
        <v>47</v>
      </c>
      <c r="C8" s="24" t="n">
        <v>125990</v>
      </c>
    </row>
    <row r="9" customFormat="false" ht="15" hidden="false" customHeight="false" outlineLevel="0" collapsed="false">
      <c r="B9" s="19" t="s">
        <v>48</v>
      </c>
      <c r="C9" s="24" t="n">
        <v>5620</v>
      </c>
    </row>
    <row r="10" customFormat="false" ht="15" hidden="false" customHeight="false" outlineLevel="0" collapsed="false">
      <c r="B10" s="26" t="s">
        <v>49</v>
      </c>
      <c r="C10" s="27" t="n">
        <f aca="false">Inputs!$C$7-Inputs!$C$9</f>
        <v>138962</v>
      </c>
    </row>
    <row r="11" customFormat="false" ht="15" hidden="false" customHeight="false" outlineLevel="0" collapsed="false">
      <c r="B11" s="19" t="s">
        <v>50</v>
      </c>
      <c r="C11" s="24" t="n">
        <v>6311</v>
      </c>
      <c r="F11" s="25" t="s">
        <v>51</v>
      </c>
    </row>
    <row r="12" customFormat="false" ht="15" hidden="false" customHeight="false" outlineLevel="0" collapsed="false">
      <c r="B12" s="19" t="s">
        <v>52</v>
      </c>
      <c r="C12" s="24" t="n">
        <v>1164442</v>
      </c>
    </row>
    <row r="13" customFormat="false" ht="15" hidden="false" customHeight="false" outlineLevel="0" collapsed="false">
      <c r="B13" s="26" t="s">
        <v>53</v>
      </c>
      <c r="C13" s="28" t="n">
        <f aca="false">Inputs!$C$5/AVERAGE(Inputs!$C$7,Inputs!$C$8)</f>
        <v>0.173277353162929</v>
      </c>
    </row>
    <row r="14" customFormat="false" ht="15" hidden="false" customHeight="false" outlineLevel="0" collapsed="false">
      <c r="B14" s="19" t="s">
        <v>54</v>
      </c>
      <c r="C14" s="28" t="n">
        <f aca="false">Inputs!$C$5/AVERAGE(Inputs!$C$10,Inputs!$C$8-Inputs!$C$9)</f>
        <v>0.180787561889778</v>
      </c>
    </row>
    <row r="15" customFormat="false" ht="15" hidden="false" customHeight="false" outlineLevel="0" collapsed="false">
      <c r="B15" s="19" t="s">
        <v>55</v>
      </c>
      <c r="C15" s="28" t="n">
        <f aca="false">Inputs!$C$11/Inputs!$C$5</f>
        <v>0.269217643545773</v>
      </c>
    </row>
    <row r="16" customFormat="false" ht="15" hidden="false" customHeight="false" outlineLevel="0" collapsed="false">
      <c r="B16" s="19" t="s">
        <v>56</v>
      </c>
      <c r="C16" s="28" t="n">
        <f aca="false">Inputs!$C$5/Inputs!$C$12</f>
        <v>0.0201315308104654</v>
      </c>
    </row>
    <row r="18" customFormat="false" ht="15.75" hidden="false" customHeight="true" outlineLevel="0" collapsed="false">
      <c r="B18" s="23" t="s">
        <v>57</v>
      </c>
      <c r="C18" s="1"/>
      <c r="D18" s="1"/>
      <c r="E18" s="1"/>
      <c r="F18" s="1"/>
    </row>
    <row r="19" customFormat="false" ht="15" hidden="false" customHeight="false" outlineLevel="0" collapsed="false">
      <c r="B19" s="19" t="s">
        <v>58</v>
      </c>
      <c r="C19" s="29" t="n">
        <v>30.98</v>
      </c>
    </row>
    <row r="20" customFormat="false" ht="15" hidden="false" customHeight="false" outlineLevel="0" collapsed="false">
      <c r="B20" s="19" t="s">
        <v>59</v>
      </c>
      <c r="C20" s="24" t="n">
        <v>6311</v>
      </c>
    </row>
    <row r="21" customFormat="false" ht="15" hidden="false" customHeight="false" outlineLevel="0" collapsed="false">
      <c r="B21" s="26" t="s">
        <v>60</v>
      </c>
      <c r="C21" s="27" t="n">
        <f aca="false">Inputs!$C$19*Inputs!$C$20</f>
        <v>195514.78</v>
      </c>
    </row>
    <row r="22" customFormat="false" ht="15" hidden="false" customHeight="false" outlineLevel="0" collapsed="false">
      <c r="B22" s="19" t="s">
        <v>61</v>
      </c>
      <c r="C22" s="30" t="n">
        <f aca="false">Inputs!$C$7/Inputs!$C$20</f>
        <v>22.9095230549834</v>
      </c>
    </row>
    <row r="23" customFormat="false" ht="15" hidden="false" customHeight="false" outlineLevel="0" collapsed="false">
      <c r="B23" s="19" t="s">
        <v>62</v>
      </c>
      <c r="C23" s="30" t="n">
        <f aca="false">Inputs!$C$10/Inputs!$C$20</f>
        <v>22.0190144192679</v>
      </c>
    </row>
    <row r="24" customFormat="false" ht="15" hidden="false" customHeight="false" outlineLevel="0" collapsed="false">
      <c r="B24" s="26" t="s">
        <v>63</v>
      </c>
      <c r="C24" s="31" t="n">
        <f aca="false">Inputs!$C$19/Inputs!$C$22</f>
        <v>1.35227607862666</v>
      </c>
    </row>
    <row r="25" customFormat="false" ht="15" hidden="false" customHeight="false" outlineLevel="0" collapsed="false">
      <c r="B25" s="19" t="s">
        <v>64</v>
      </c>
      <c r="C25" s="31" t="n">
        <f aca="false">Inputs!$C$19/Inputs!$C$23</f>
        <v>1.40696578920856</v>
      </c>
    </row>
    <row r="26" customFormat="false" ht="15" hidden="false" customHeight="false" outlineLevel="0" collapsed="false">
      <c r="B26" s="19" t="s">
        <v>65</v>
      </c>
      <c r="C26" s="31" t="n">
        <f aca="false">Inputs!$C$21/Inputs!$C$5</f>
        <v>8.34036259704803</v>
      </c>
    </row>
    <row r="27" customFormat="false" ht="15" hidden="false" customHeight="false" outlineLevel="0" collapsed="false">
      <c r="B27" s="19" t="s">
        <v>66</v>
      </c>
      <c r="C27" s="28" t="n">
        <f aca="false">Inputs!$C$11/Inputs!$C$21</f>
        <v>0.0322788896061976</v>
      </c>
    </row>
    <row r="29" customFormat="false" ht="15.75" hidden="false" customHeight="true" outlineLevel="0" collapsed="false">
      <c r="B29" s="23" t="s">
        <v>67</v>
      </c>
      <c r="C29" s="1"/>
      <c r="D29" s="1"/>
      <c r="E29" s="1"/>
      <c r="F29" s="1"/>
    </row>
    <row r="30" customFormat="false" ht="15" hidden="false" customHeight="false" outlineLevel="0" collapsed="false">
      <c r="B30" s="19" t="s">
        <v>68</v>
      </c>
      <c r="C30" s="32" t="n">
        <v>0.041</v>
      </c>
      <c r="F30" s="25" t="s">
        <v>69</v>
      </c>
    </row>
    <row r="31" customFormat="false" ht="22.35" hidden="false" customHeight="false" outlineLevel="0" collapsed="false">
      <c r="B31" s="19" t="s">
        <v>70</v>
      </c>
      <c r="C31" s="32" t="n">
        <v>0.009</v>
      </c>
      <c r="F31" s="25" t="s">
        <v>71</v>
      </c>
    </row>
    <row r="32" customFormat="false" ht="15" hidden="false" customHeight="false" outlineLevel="0" collapsed="false">
      <c r="B32" s="19" t="s">
        <v>72</v>
      </c>
      <c r="C32" s="32" t="n">
        <v>0.05</v>
      </c>
    </row>
    <row r="33" customFormat="false" ht="15" hidden="false" customHeight="false" outlineLevel="0" collapsed="false">
      <c r="B33" s="19" t="s">
        <v>73</v>
      </c>
      <c r="C33" s="29" t="n">
        <v>1</v>
      </c>
      <c r="F33" s="25" t="s">
        <v>74</v>
      </c>
    </row>
    <row r="34" customFormat="false" ht="15" hidden="false" customHeight="false" outlineLevel="0" collapsed="false">
      <c r="B34" s="26" t="s">
        <v>22</v>
      </c>
      <c r="C34" s="33" t="n">
        <f aca="false">Inputs!$C$30+Inputs!$C$31+Inputs!$C$33*Inputs!$C$32</f>
        <v>0.1</v>
      </c>
    </row>
    <row r="36" customFormat="false" ht="15.75" hidden="false" customHeight="true" outlineLevel="0" collapsed="false">
      <c r="B36" s="23" t="s">
        <v>75</v>
      </c>
      <c r="C36" s="1"/>
      <c r="D36" s="1"/>
      <c r="E36" s="1"/>
      <c r="F36" s="1"/>
    </row>
    <row r="37" customFormat="false" ht="15" hidden="false" customHeight="false" outlineLevel="0" collapsed="false">
      <c r="B37" s="19" t="s">
        <v>76</v>
      </c>
      <c r="C37" s="32" t="n">
        <v>0.03</v>
      </c>
      <c r="F37" s="25" t="s">
        <v>77</v>
      </c>
    </row>
    <row r="38" customFormat="false" ht="15" hidden="false" customHeight="false" outlineLevel="0" collapsed="false">
      <c r="B38" s="19" t="s">
        <v>78</v>
      </c>
      <c r="C38" s="32" t="n">
        <v>0.14</v>
      </c>
      <c r="F38" s="25" t="s">
        <v>79</v>
      </c>
    </row>
    <row r="39" customFormat="false" ht="22.35" hidden="false" customHeight="false" outlineLevel="0" collapsed="false">
      <c r="B39" s="26" t="s">
        <v>80</v>
      </c>
      <c r="C39" s="28" t="n">
        <f aca="false">1-Inputs!$C$37/Inputs!$C$38</f>
        <v>0.785714285714286</v>
      </c>
      <c r="F39" s="25" t="s">
        <v>81</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Bank Valuation — Dividend Discount and Excess Return&amp;R&amp;"Arial,Regular"&amp;8Inputs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8"/>
    <col collapsed="false" customWidth="true" hidden="false" outlineLevel="0" max="9" min="3" style="0" width="13.5"/>
  </cols>
  <sheetData>
    <row r="1" customFormat="false" ht="30" hidden="false" customHeight="true" outlineLevel="0" collapsed="false">
      <c r="A1" s="1"/>
      <c r="B1" s="20" t="s">
        <v>39</v>
      </c>
      <c r="C1" s="1"/>
      <c r="D1" s="1"/>
      <c r="E1" s="1"/>
      <c r="F1" s="1"/>
      <c r="G1" s="1"/>
      <c r="H1" s="1"/>
      <c r="I1" s="21" t="s">
        <v>40</v>
      </c>
    </row>
    <row r="2" customFormat="false" ht="18" hidden="false" customHeight="true" outlineLevel="0" collapsed="false">
      <c r="A2" s="1"/>
      <c r="B2" s="22" t="s">
        <v>82</v>
      </c>
      <c r="C2" s="1"/>
      <c r="D2" s="1"/>
      <c r="E2" s="1"/>
      <c r="F2" s="1"/>
      <c r="G2" s="1"/>
      <c r="H2" s="1"/>
      <c r="I2" s="1"/>
    </row>
    <row r="4" customFormat="false" ht="15.75" hidden="false" customHeight="true" outlineLevel="0" collapsed="false">
      <c r="B4" s="23" t="s">
        <v>83</v>
      </c>
      <c r="C4" s="1"/>
      <c r="D4" s="1"/>
      <c r="E4" s="1"/>
      <c r="F4" s="1"/>
      <c r="G4" s="1"/>
      <c r="H4" s="1"/>
      <c r="I4" s="1"/>
    </row>
    <row r="5" customFormat="false" ht="18" hidden="false" customHeight="true" outlineLevel="0" collapsed="false">
      <c r="B5" s="26"/>
      <c r="C5" s="34" t="s">
        <v>84</v>
      </c>
      <c r="D5" s="34" t="s">
        <v>85</v>
      </c>
      <c r="E5" s="34" t="s">
        <v>86</v>
      </c>
      <c r="F5" s="34" t="s">
        <v>87</v>
      </c>
      <c r="G5" s="34" t="s">
        <v>88</v>
      </c>
      <c r="H5" s="34" t="s">
        <v>89</v>
      </c>
    </row>
    <row r="6" customFormat="false" ht="15" hidden="false" customHeight="false" outlineLevel="0" collapsed="false">
      <c r="B6" s="19" t="s">
        <v>90</v>
      </c>
      <c r="C6" s="27" t="n">
        <f aca="false">Inputs!$C$8</f>
        <v>125990</v>
      </c>
      <c r="D6" s="27" t="n">
        <f aca="false">C11</f>
        <v>144582</v>
      </c>
      <c r="E6" s="27" t="n">
        <f aca="false">D11</f>
        <v>161281.221</v>
      </c>
      <c r="F6" s="27" t="n">
        <f aca="false">E11</f>
        <v>178570.5678912</v>
      </c>
      <c r="G6" s="27" t="n">
        <f aca="false">F11</f>
        <v>196284.768226007</v>
      </c>
      <c r="H6" s="27" t="n">
        <f aca="false">G11</f>
        <v>213950.397366348</v>
      </c>
    </row>
    <row r="7" customFormat="false" ht="15" hidden="false" customHeight="false" outlineLevel="0" collapsed="false">
      <c r="B7" s="19" t="s">
        <v>91</v>
      </c>
      <c r="C7" s="28" t="n">
        <f aca="false">Inputs!$C$5/Inputs!$C$8</f>
        <v>0.186062385903643</v>
      </c>
      <c r="D7" s="32" t="n">
        <v>0.165</v>
      </c>
      <c r="E7" s="32" t="n">
        <v>0.16</v>
      </c>
      <c r="F7" s="32" t="n">
        <v>0.155</v>
      </c>
      <c r="G7" s="32" t="n">
        <v>0.15</v>
      </c>
      <c r="H7" s="32" t="n">
        <v>0.145</v>
      </c>
    </row>
    <row r="8" customFormat="false" ht="15" hidden="false" customHeight="false" outlineLevel="0" collapsed="false">
      <c r="B8" s="26" t="s">
        <v>92</v>
      </c>
      <c r="C8" s="27" t="n">
        <f aca="false">Inputs!$C$5</f>
        <v>23442</v>
      </c>
      <c r="D8" s="27" t="n">
        <f aca="false">D6*D7</f>
        <v>23856.03</v>
      </c>
      <c r="E8" s="27" t="n">
        <f aca="false">E6*E7</f>
        <v>25804.99536</v>
      </c>
      <c r="F8" s="27" t="n">
        <f aca="false">F6*F7</f>
        <v>27678.438023136</v>
      </c>
      <c r="G8" s="27" t="n">
        <f aca="false">G6*G7</f>
        <v>29442.7152339011</v>
      </c>
      <c r="H8" s="27" t="n">
        <f aca="false">H6*H7</f>
        <v>31022.8076181204</v>
      </c>
    </row>
    <row r="9" customFormat="false" ht="15" hidden="false" customHeight="false" outlineLevel="0" collapsed="false">
      <c r="B9" s="19" t="s">
        <v>93</v>
      </c>
      <c r="C9" s="28" t="n">
        <f aca="false">Inputs!$C$11/Inputs!$C$5</f>
        <v>0.269217643545773</v>
      </c>
      <c r="D9" s="32" t="n">
        <v>0.3</v>
      </c>
      <c r="E9" s="32" t="n">
        <v>0.33</v>
      </c>
      <c r="F9" s="32" t="n">
        <v>0.36</v>
      </c>
      <c r="G9" s="32" t="n">
        <v>0.4</v>
      </c>
      <c r="H9" s="32" t="n">
        <v>0.44</v>
      </c>
    </row>
    <row r="10" customFormat="false" ht="15" hidden="false" customHeight="false" outlineLevel="0" collapsed="false">
      <c r="B10" s="19" t="s">
        <v>94</v>
      </c>
      <c r="C10" s="27" t="n">
        <f aca="false">Inputs!$C$11</f>
        <v>6311</v>
      </c>
      <c r="D10" s="27" t="n">
        <f aca="false">D8*D9</f>
        <v>7156.809</v>
      </c>
      <c r="E10" s="27" t="n">
        <f aca="false">E8*E9</f>
        <v>8515.6484688</v>
      </c>
      <c r="F10" s="27" t="n">
        <f aca="false">F8*F9</f>
        <v>9964.23768832896</v>
      </c>
      <c r="G10" s="27" t="n">
        <f aca="false">G8*G9</f>
        <v>11777.0860935604</v>
      </c>
      <c r="H10" s="27" t="n">
        <f aca="false">H8*H9</f>
        <v>13650.035351973</v>
      </c>
    </row>
    <row r="11" customFormat="false" ht="15" hidden="false" customHeight="false" outlineLevel="0" collapsed="false">
      <c r="B11" s="26" t="s">
        <v>95</v>
      </c>
      <c r="C11" s="35" t="n">
        <f aca="false">Inputs!$C$7</f>
        <v>144582</v>
      </c>
      <c r="D11" s="35" t="n">
        <f aca="false">D6+D8-D10</f>
        <v>161281.221</v>
      </c>
      <c r="E11" s="35" t="n">
        <f aca="false">E6+E8-E10</f>
        <v>178570.5678912</v>
      </c>
      <c r="F11" s="35" t="n">
        <f aca="false">F6+F8-F10</f>
        <v>196284.768226007</v>
      </c>
      <c r="G11" s="35" t="n">
        <f aca="false">G6+G8-G10</f>
        <v>213950.397366348</v>
      </c>
      <c r="H11" s="35" t="n">
        <f aca="false">H6+H8-H10</f>
        <v>231323.169632495</v>
      </c>
    </row>
    <row r="12" customFormat="false" ht="15" hidden="false" customHeight="false" outlineLevel="0" collapsed="false">
      <c r="B12" s="19" t="s">
        <v>96</v>
      </c>
      <c r="C12" s="28" t="n">
        <f aca="false">Inputs!$C$7/Inputs!$C$8-1</f>
        <v>0.147567267243432</v>
      </c>
      <c r="D12" s="28" t="n">
        <f aca="false">D11/C11-1</f>
        <v>0.1155</v>
      </c>
      <c r="E12" s="28" t="n">
        <f aca="false">E11/D11-1</f>
        <v>0.1072</v>
      </c>
      <c r="F12" s="28" t="n">
        <f aca="false">F11/E11-1</f>
        <v>0.0992</v>
      </c>
      <c r="G12" s="28" t="n">
        <f aca="false">G11/F11-1</f>
        <v>0.0900000000000001</v>
      </c>
      <c r="H12" s="28" t="n">
        <f aca="false">H11/G11-1</f>
        <v>0.0811999999999999</v>
      </c>
    </row>
    <row r="13" customFormat="false" ht="15" hidden="false" customHeight="false" outlineLevel="0" collapsed="false">
      <c r="B13" s="19" t="s">
        <v>97</v>
      </c>
      <c r="C13" s="28" t="n">
        <f aca="false">Inputs!$C$5/Inputs!$C$6-1</f>
        <v>0.0204152700996822</v>
      </c>
      <c r="D13" s="28" t="n">
        <f aca="false">D8/C8-1</f>
        <v>0.0176618889173279</v>
      </c>
      <c r="E13" s="28" t="n">
        <f aca="false">E8/D8-1</f>
        <v>0.0816969696969696</v>
      </c>
      <c r="F13" s="28" t="n">
        <f aca="false">F8/E8-1</f>
        <v>0.0725999999999998</v>
      </c>
      <c r="G13" s="28" t="n">
        <f aca="false">G8/F8-1</f>
        <v>0.0637419354838711</v>
      </c>
      <c r="H13" s="28" t="n">
        <f aca="false">H8/G8-1</f>
        <v>0.0536666666666665</v>
      </c>
    </row>
    <row r="15" customFormat="false" ht="15.75" hidden="false" customHeight="true" outlineLevel="0" collapsed="false">
      <c r="B15" s="23" t="s">
        <v>98</v>
      </c>
      <c r="C15" s="1"/>
      <c r="D15" s="1"/>
      <c r="E15" s="1"/>
      <c r="F15" s="1"/>
      <c r="G15" s="1"/>
      <c r="H15" s="1"/>
      <c r="I15" s="1"/>
    </row>
    <row r="16" customFormat="false" ht="15" hidden="false" customHeight="false" outlineLevel="0" collapsed="false">
      <c r="B16" s="19" t="s">
        <v>99</v>
      </c>
      <c r="C16" s="30" t="n">
        <f aca="false">C8/Inputs!$C$20</f>
        <v>3.71446680399303</v>
      </c>
      <c r="D16" s="30" t="n">
        <f aca="false">D8/Inputs!$C$20</f>
        <v>3.78007130407226</v>
      </c>
      <c r="E16" s="30" t="n">
        <f aca="false">E8/Inputs!$C$20</f>
        <v>4.08889167485343</v>
      </c>
      <c r="F16" s="30" t="n">
        <f aca="false">F8/Inputs!$C$20</f>
        <v>4.38574521044779</v>
      </c>
      <c r="G16" s="30" t="n">
        <f aca="false">G8/Inputs!$C$20</f>
        <v>4.66530109870085</v>
      </c>
      <c r="H16" s="30" t="n">
        <f aca="false">H8/Inputs!$C$20</f>
        <v>4.91567225766446</v>
      </c>
    </row>
    <row r="17" customFormat="false" ht="15" hidden="false" customHeight="false" outlineLevel="0" collapsed="false">
      <c r="B17" s="26" t="s">
        <v>100</v>
      </c>
      <c r="C17" s="30" t="n">
        <f aca="false">C10/Inputs!$C$20</f>
        <v>1</v>
      </c>
      <c r="D17" s="30" t="n">
        <f aca="false">D10/Inputs!$C$20</f>
        <v>1.13402139122168</v>
      </c>
      <c r="E17" s="30" t="n">
        <f aca="false">E10/Inputs!$C$20</f>
        <v>1.34933425270163</v>
      </c>
      <c r="F17" s="30" t="n">
        <f aca="false">F10/Inputs!$C$20</f>
        <v>1.5788682757612</v>
      </c>
      <c r="G17" s="30" t="n">
        <f aca="false">G10/Inputs!$C$20</f>
        <v>1.86612043948034</v>
      </c>
      <c r="H17" s="30" t="n">
        <f aca="false">H10/Inputs!$C$20</f>
        <v>2.16289579337236</v>
      </c>
    </row>
    <row r="18" customFormat="false" ht="15" hidden="false" customHeight="false" outlineLevel="0" collapsed="false">
      <c r="B18" s="19" t="s">
        <v>101</v>
      </c>
      <c r="C18" s="30" t="n">
        <f aca="false">C11/Inputs!$C$20</f>
        <v>22.9095230549834</v>
      </c>
      <c r="D18" s="30" t="n">
        <f aca="false">D11/Inputs!$C$20</f>
        <v>25.5555729678339</v>
      </c>
      <c r="E18" s="30" t="n">
        <f aca="false">E11/Inputs!$C$20</f>
        <v>28.2951303899857</v>
      </c>
      <c r="F18" s="30" t="n">
        <f aca="false">F11/Inputs!$C$20</f>
        <v>31.1020073246723</v>
      </c>
      <c r="G18" s="30" t="n">
        <f aca="false">G11/Inputs!$C$20</f>
        <v>33.9011879838928</v>
      </c>
      <c r="H18" s="30" t="n">
        <f aca="false">H11/Inputs!$C$20</f>
        <v>36.6539644481849</v>
      </c>
    </row>
    <row r="20" customFormat="false" ht="15.75" hidden="false" customHeight="true" outlineLevel="0" collapsed="false">
      <c r="B20" s="23" t="s">
        <v>102</v>
      </c>
      <c r="C20" s="1"/>
      <c r="D20" s="1"/>
      <c r="E20" s="1"/>
      <c r="F20" s="1"/>
      <c r="G20" s="1"/>
      <c r="H20" s="1"/>
      <c r="I20" s="1"/>
    </row>
    <row r="21" customFormat="false" ht="15" hidden="false" customHeight="false" outlineLevel="0" collapsed="false">
      <c r="B21" s="19" t="s">
        <v>103</v>
      </c>
      <c r="C21" s="36" t="n">
        <f aca="false">Forecast!H11</f>
        <v>231323.169632495</v>
      </c>
    </row>
    <row r="22" customFormat="false" ht="15" hidden="false" customHeight="false" outlineLevel="0" collapsed="false">
      <c r="B22" s="19" t="s">
        <v>104</v>
      </c>
      <c r="C22" s="27" t="n">
        <f aca="false">Forecast!$C$21*Inputs!$C$38</f>
        <v>32385.2437485493</v>
      </c>
    </row>
    <row r="23" customFormat="false" ht="15" hidden="false" customHeight="false" outlineLevel="0" collapsed="false">
      <c r="B23" s="26" t="s">
        <v>105</v>
      </c>
      <c r="C23" s="27" t="n">
        <f aca="false">Forecast!$C$22*Inputs!$C$39</f>
        <v>25445.5486595745</v>
      </c>
    </row>
    <row r="24" customFormat="false" ht="15" hidden="false" customHeight="false" outlineLevel="0" collapsed="false">
      <c r="B24" s="19" t="s">
        <v>106</v>
      </c>
      <c r="C24" s="27" t="n">
        <f aca="false">Forecast!$C$21+Forecast!$C$22-Forecast!$C$23</f>
        <v>238262.86472147</v>
      </c>
    </row>
    <row r="25" customFormat="false" ht="15" hidden="false" customHeight="false" outlineLevel="0" collapsed="false">
      <c r="B25" s="26" t="s">
        <v>107</v>
      </c>
      <c r="C25" s="28" t="n">
        <f aca="false">Forecast!$C$24/Forecast!$C$21-1</f>
        <v>0.03</v>
      </c>
    </row>
    <row r="26" customFormat="false" ht="39.75" hidden="false" customHeight="true" outlineLevel="0" collapsed="false">
      <c r="B26" s="18" t="s">
        <v>108</v>
      </c>
      <c r="C26" s="18"/>
      <c r="D26" s="18"/>
      <c r="E26" s="18"/>
      <c r="F26" s="18"/>
      <c r="G26" s="18"/>
      <c r="H26" s="18"/>
      <c r="I26" s="18"/>
    </row>
  </sheetData>
  <mergeCells count="1">
    <mergeCell ref="B26:I26"/>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Bank Valuation — Dividend Discount and Excess Return&amp;R&amp;"Arial,Regular"&amp;8Forecast</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8"/>
    <col collapsed="false" customWidth="true" hidden="false" outlineLevel="0" max="9" min="3" style="0" width="13.5"/>
  </cols>
  <sheetData>
    <row r="1" customFormat="false" ht="30" hidden="false" customHeight="true" outlineLevel="0" collapsed="false">
      <c r="A1" s="1"/>
      <c r="B1" s="20" t="s">
        <v>39</v>
      </c>
      <c r="C1" s="1"/>
      <c r="D1" s="1"/>
      <c r="E1" s="1"/>
      <c r="F1" s="1"/>
      <c r="G1" s="1"/>
      <c r="H1" s="1"/>
      <c r="I1" s="21" t="s">
        <v>40</v>
      </c>
    </row>
    <row r="2" customFormat="false" ht="18" hidden="false" customHeight="true" outlineLevel="0" collapsed="false">
      <c r="A2" s="1"/>
      <c r="B2" s="22" t="s">
        <v>109</v>
      </c>
      <c r="C2" s="1"/>
      <c r="D2" s="1"/>
      <c r="E2" s="1"/>
      <c r="F2" s="1"/>
      <c r="G2" s="1"/>
      <c r="H2" s="1"/>
      <c r="I2" s="1"/>
    </row>
    <row r="4" customFormat="false" ht="15.75" hidden="false" customHeight="true" outlineLevel="0" collapsed="false">
      <c r="B4" s="23" t="s">
        <v>110</v>
      </c>
      <c r="C4" s="1"/>
      <c r="D4" s="1"/>
      <c r="E4" s="1"/>
      <c r="F4" s="1"/>
      <c r="G4" s="1"/>
      <c r="H4" s="1"/>
      <c r="I4" s="1"/>
    </row>
    <row r="5" customFormat="false" ht="18" hidden="false" customHeight="true" outlineLevel="0" collapsed="false">
      <c r="B5" s="26"/>
      <c r="C5" s="34"/>
      <c r="D5" s="34" t="s">
        <v>85</v>
      </c>
      <c r="E5" s="34" t="s">
        <v>86</v>
      </c>
      <c r="F5" s="34" t="s">
        <v>87</v>
      </c>
      <c r="G5" s="34" t="s">
        <v>88</v>
      </c>
      <c r="H5" s="34" t="s">
        <v>89</v>
      </c>
    </row>
    <row r="6" customFormat="false" ht="15" hidden="false" customHeight="false" outlineLevel="0" collapsed="false">
      <c r="B6" s="19" t="s">
        <v>111</v>
      </c>
      <c r="C6" s="37"/>
      <c r="D6" s="37" t="n">
        <v>1</v>
      </c>
      <c r="E6" s="37" t="n">
        <v>2</v>
      </c>
      <c r="F6" s="37" t="n">
        <v>3</v>
      </c>
      <c r="G6" s="37" t="n">
        <v>4</v>
      </c>
      <c r="H6" s="37" t="n">
        <v>5</v>
      </c>
    </row>
    <row r="7" customFormat="false" ht="15" hidden="false" customHeight="false" outlineLevel="0" collapsed="false">
      <c r="B7" s="19" t="s">
        <v>94</v>
      </c>
      <c r="C7" s="36"/>
      <c r="D7" s="36" t="n">
        <f aca="false">Forecast!D10</f>
        <v>7156.809</v>
      </c>
      <c r="E7" s="36" t="n">
        <f aca="false">Forecast!E10</f>
        <v>8515.6484688</v>
      </c>
      <c r="F7" s="36" t="n">
        <f aca="false">Forecast!F10</f>
        <v>9964.23768832896</v>
      </c>
      <c r="G7" s="36" t="n">
        <f aca="false">Forecast!G10</f>
        <v>11777.0860935604</v>
      </c>
      <c r="H7" s="36" t="n">
        <f aca="false">Forecast!H10</f>
        <v>13650.035351973</v>
      </c>
    </row>
    <row r="8" customFormat="false" ht="15" hidden="false" customHeight="false" outlineLevel="0" collapsed="false">
      <c r="B8" s="19" t="s">
        <v>112</v>
      </c>
      <c r="C8" s="38"/>
      <c r="D8" s="39" t="n">
        <f aca="false">1/(1+Inputs!$C$34)^D6</f>
        <v>0.909090909090909</v>
      </c>
      <c r="E8" s="39" t="n">
        <f aca="false">1/(1+Inputs!$C$34)^E6</f>
        <v>0.826446280991735</v>
      </c>
      <c r="F8" s="39" t="n">
        <f aca="false">1/(1+Inputs!$C$34)^F6</f>
        <v>0.751314800901578</v>
      </c>
      <c r="G8" s="39" t="n">
        <f aca="false">1/(1+Inputs!$C$34)^G6</f>
        <v>0.683013455365071</v>
      </c>
      <c r="H8" s="39" t="n">
        <f aca="false">1/(1+Inputs!$C$34)^H6</f>
        <v>0.620921323059155</v>
      </c>
    </row>
    <row r="9" customFormat="false" ht="15" hidden="false" customHeight="false" outlineLevel="0" collapsed="false">
      <c r="B9" s="26" t="s">
        <v>113</v>
      </c>
      <c r="C9" s="24"/>
      <c r="D9" s="27" t="n">
        <f aca="false">D7*D8</f>
        <v>6506.19</v>
      </c>
      <c r="E9" s="27" t="n">
        <f aca="false">E7*E8</f>
        <v>7037.72600727273</v>
      </c>
      <c r="F9" s="27" t="n">
        <f aca="false">F7*F8</f>
        <v>7486.27925494287</v>
      </c>
      <c r="G9" s="27" t="n">
        <f aca="false">G7*G8</f>
        <v>8043.90826689462</v>
      </c>
      <c r="H9" s="27" t="n">
        <f aca="false">H7*H8</f>
        <v>8475.5980105513</v>
      </c>
    </row>
    <row r="11" customFormat="false" ht="15.75" hidden="false" customHeight="true" outlineLevel="0" collapsed="false">
      <c r="B11" s="23" t="s">
        <v>114</v>
      </c>
      <c r="C11" s="1"/>
      <c r="D11" s="1"/>
      <c r="E11" s="1"/>
      <c r="F11" s="1"/>
      <c r="G11" s="1"/>
      <c r="H11" s="1"/>
      <c r="I11" s="1"/>
    </row>
    <row r="12" customFormat="false" ht="15" hidden="false" customHeight="false" outlineLevel="0" collapsed="false">
      <c r="B12" s="19" t="s">
        <v>115</v>
      </c>
      <c r="C12" s="27" t="n">
        <f aca="false">Forecast!$C$23/(Inputs!$C$34-Inputs!$C$37)</f>
        <v>363507.837993921</v>
      </c>
    </row>
    <row r="13" customFormat="false" ht="15" hidden="false" customHeight="false" outlineLevel="0" collapsed="false">
      <c r="B13" s="26" t="s">
        <v>116</v>
      </c>
      <c r="C13" s="27" t="n">
        <f aca="false">DDM!$C$12*DDM!H8</f>
        <v>225709.767709558</v>
      </c>
    </row>
    <row r="14" customFormat="false" ht="43.25" hidden="false" customHeight="false" outlineLevel="0" collapsed="false">
      <c r="B14" s="19" t="s">
        <v>117</v>
      </c>
      <c r="C14" s="31" t="n">
        <f aca="false">DDM!$C$12/Forecast!$C$21</f>
        <v>1.57142857142857</v>
      </c>
      <c r="I14" s="25" t="s">
        <v>118</v>
      </c>
    </row>
    <row r="16" customFormat="false" ht="15.75" hidden="false" customHeight="true" outlineLevel="0" collapsed="false">
      <c r="B16" s="23" t="s">
        <v>119</v>
      </c>
      <c r="C16" s="1"/>
      <c r="D16" s="1"/>
      <c r="E16" s="1"/>
      <c r="F16" s="1"/>
      <c r="G16" s="1"/>
      <c r="H16" s="1"/>
      <c r="I16" s="1"/>
    </row>
    <row r="17" customFormat="false" ht="15" hidden="false" customHeight="false" outlineLevel="0" collapsed="false">
      <c r="B17" s="19" t="s">
        <v>120</v>
      </c>
      <c r="C17" s="27" t="n">
        <f aca="false">SUM(DDM!D9:H9)</f>
        <v>37549.7015396615</v>
      </c>
    </row>
    <row r="18" customFormat="false" ht="15" hidden="false" customHeight="false" outlineLevel="0" collapsed="false">
      <c r="B18" s="26" t="s">
        <v>121</v>
      </c>
      <c r="C18" s="40" t="n">
        <f aca="false">DDM!$C$17+DDM!$C$13</f>
        <v>263259.46924922</v>
      </c>
    </row>
    <row r="19" customFormat="false" ht="15" hidden="false" customHeight="false" outlineLevel="0" collapsed="false">
      <c r="B19" s="19" t="s">
        <v>122</v>
      </c>
      <c r="C19" s="28" t="n">
        <f aca="false">DDM!$C$13/DDM!$C$18</f>
        <v>0.857366188396763</v>
      </c>
    </row>
    <row r="20" customFormat="false" ht="15" hidden="false" customHeight="false" outlineLevel="0" collapsed="false">
      <c r="B20" s="26" t="s">
        <v>123</v>
      </c>
      <c r="C20" s="41" t="n">
        <f aca="false">DDM!$C$18/Inputs!$C$20</f>
        <v>41.7143827046775</v>
      </c>
    </row>
    <row r="21" customFormat="false" ht="15" hidden="false" customHeight="false" outlineLevel="0" collapsed="false">
      <c r="B21" s="26" t="s">
        <v>124</v>
      </c>
      <c r="C21" s="28" t="n">
        <f aca="false">DDM!$C$20/Inputs!$C$19-1</f>
        <v>0.346493954314962</v>
      </c>
    </row>
    <row r="22" customFormat="false" ht="15" hidden="false" customHeight="false" outlineLevel="0" collapsed="false">
      <c r="B22" s="19" t="s">
        <v>125</v>
      </c>
      <c r="C22" s="31" t="n">
        <f aca="false">DDM!$C$18/Inputs!$C$7</f>
        <v>1.82083156443554</v>
      </c>
    </row>
    <row r="23" customFormat="false" ht="15" hidden="false" customHeight="false" outlineLevel="0" collapsed="false">
      <c r="B23" s="19" t="s">
        <v>126</v>
      </c>
      <c r="C23" s="31" t="n">
        <f aca="false">DDM!$C$18/Inputs!$C$5</f>
        <v>11.2302478137198</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Bank Valuation — Dividend Discount and Excess Return&amp;R&amp;"Arial,Regular"&amp;8DDM</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2"/>
    <col collapsed="false" customWidth="true" hidden="false" outlineLevel="0" max="9" min="3" style="0" width="13.5"/>
  </cols>
  <sheetData>
    <row r="1" customFormat="false" ht="30" hidden="false" customHeight="true" outlineLevel="0" collapsed="false">
      <c r="A1" s="1"/>
      <c r="B1" s="20" t="s">
        <v>39</v>
      </c>
      <c r="C1" s="1"/>
      <c r="D1" s="1"/>
      <c r="E1" s="1"/>
      <c r="F1" s="1"/>
      <c r="G1" s="1"/>
      <c r="H1" s="1"/>
      <c r="I1" s="21" t="s">
        <v>40</v>
      </c>
    </row>
    <row r="2" customFormat="false" ht="18" hidden="false" customHeight="true" outlineLevel="0" collapsed="false">
      <c r="A2" s="1"/>
      <c r="B2" s="22" t="s">
        <v>127</v>
      </c>
      <c r="C2" s="1"/>
      <c r="D2" s="1"/>
      <c r="E2" s="1"/>
      <c r="F2" s="1"/>
      <c r="G2" s="1"/>
      <c r="H2" s="1"/>
      <c r="I2" s="1"/>
    </row>
    <row r="4" customFormat="false" ht="15.75" hidden="false" customHeight="true" outlineLevel="0" collapsed="false">
      <c r="B4" s="23" t="s">
        <v>128</v>
      </c>
      <c r="C4" s="1"/>
      <c r="D4" s="1"/>
      <c r="E4" s="1"/>
      <c r="F4" s="1"/>
      <c r="G4" s="1"/>
      <c r="H4" s="1"/>
      <c r="I4" s="1"/>
    </row>
    <row r="5" customFormat="false" ht="18" hidden="false" customHeight="true" outlineLevel="0" collapsed="false">
      <c r="B5" s="26"/>
      <c r="C5" s="34"/>
      <c r="D5" s="34" t="s">
        <v>85</v>
      </c>
      <c r="E5" s="34" t="s">
        <v>86</v>
      </c>
      <c r="F5" s="34" t="s">
        <v>87</v>
      </c>
      <c r="G5" s="34" t="s">
        <v>88</v>
      </c>
      <c r="H5" s="34" t="s">
        <v>89</v>
      </c>
    </row>
    <row r="6" customFormat="false" ht="15" hidden="false" customHeight="false" outlineLevel="0" collapsed="false">
      <c r="B6" s="19" t="s">
        <v>103</v>
      </c>
      <c r="C6" s="36"/>
      <c r="D6" s="36" t="n">
        <f aca="false">Forecast!D6</f>
        <v>144582</v>
      </c>
      <c r="E6" s="36" t="n">
        <f aca="false">Forecast!E6</f>
        <v>161281.221</v>
      </c>
      <c r="F6" s="36" t="n">
        <f aca="false">Forecast!F6</f>
        <v>178570.5678912</v>
      </c>
      <c r="G6" s="36" t="n">
        <f aca="false">Forecast!G6</f>
        <v>196284.768226007</v>
      </c>
      <c r="H6" s="36" t="n">
        <f aca="false">Forecast!H6</f>
        <v>213950.397366348</v>
      </c>
    </row>
    <row r="7" customFormat="false" ht="15" hidden="false" customHeight="false" outlineLevel="0" collapsed="false">
      <c r="B7" s="19" t="s">
        <v>129</v>
      </c>
      <c r="C7" s="42"/>
      <c r="D7" s="42" t="n">
        <f aca="false">Forecast!D7</f>
        <v>0.165</v>
      </c>
      <c r="E7" s="42" t="n">
        <f aca="false">Forecast!E7</f>
        <v>0.16</v>
      </c>
      <c r="F7" s="42" t="n">
        <f aca="false">Forecast!F7</f>
        <v>0.155</v>
      </c>
      <c r="G7" s="42" t="n">
        <f aca="false">Forecast!G7</f>
        <v>0.15</v>
      </c>
      <c r="H7" s="42" t="n">
        <f aca="false">Forecast!H7</f>
        <v>0.145</v>
      </c>
    </row>
    <row r="8" customFormat="false" ht="15" hidden="false" customHeight="false" outlineLevel="0" collapsed="false">
      <c r="B8" s="19" t="s">
        <v>22</v>
      </c>
      <c r="C8" s="42"/>
      <c r="D8" s="42" t="n">
        <f aca="false">Inputs!$C$34</f>
        <v>0.1</v>
      </c>
      <c r="E8" s="42" t="n">
        <f aca="false">Inputs!$C$34</f>
        <v>0.1</v>
      </c>
      <c r="F8" s="42" t="n">
        <f aca="false">Inputs!$C$34</f>
        <v>0.1</v>
      </c>
      <c r="G8" s="42" t="n">
        <f aca="false">Inputs!$C$34</f>
        <v>0.1</v>
      </c>
      <c r="H8" s="42" t="n">
        <f aca="false">Inputs!$C$34</f>
        <v>0.1</v>
      </c>
    </row>
    <row r="9" customFormat="false" ht="15" hidden="false" customHeight="false" outlineLevel="0" collapsed="false">
      <c r="B9" s="26" t="s">
        <v>130</v>
      </c>
      <c r="C9" s="32"/>
      <c r="D9" s="28" t="n">
        <f aca="false">D7-D8</f>
        <v>0.065</v>
      </c>
      <c r="E9" s="28" t="n">
        <f aca="false">E7-E8</f>
        <v>0.06</v>
      </c>
      <c r="F9" s="28" t="n">
        <f aca="false">F7-F8</f>
        <v>0.055</v>
      </c>
      <c r="G9" s="28" t="n">
        <f aca="false">G7-G8</f>
        <v>0.05</v>
      </c>
      <c r="H9" s="28" t="n">
        <f aca="false">H7-H8</f>
        <v>0.045</v>
      </c>
    </row>
    <row r="10" customFormat="false" ht="15" hidden="false" customHeight="false" outlineLevel="0" collapsed="false">
      <c r="B10" s="26" t="s">
        <v>131</v>
      </c>
      <c r="C10" s="24"/>
      <c r="D10" s="27" t="n">
        <f aca="false">D9*D6</f>
        <v>9397.83</v>
      </c>
      <c r="E10" s="27" t="n">
        <f aca="false">E9*E6</f>
        <v>9676.87326</v>
      </c>
      <c r="F10" s="27" t="n">
        <f aca="false">F9*F6</f>
        <v>9821.381234016</v>
      </c>
      <c r="G10" s="27" t="n">
        <f aca="false">G9*G6</f>
        <v>9814.23841130035</v>
      </c>
      <c r="H10" s="27" t="n">
        <f aca="false">H9*H6</f>
        <v>9627.76788148564</v>
      </c>
    </row>
    <row r="11" customFormat="false" ht="15" hidden="false" customHeight="false" outlineLevel="0" collapsed="false">
      <c r="B11" s="19" t="s">
        <v>132</v>
      </c>
      <c r="C11" s="43"/>
      <c r="D11" s="43" t="n">
        <f aca="false">DDM!D8</f>
        <v>0.909090909090909</v>
      </c>
      <c r="E11" s="43" t="n">
        <f aca="false">DDM!E8</f>
        <v>0.826446280991735</v>
      </c>
      <c r="F11" s="43" t="n">
        <f aca="false">DDM!F8</f>
        <v>0.751314800901578</v>
      </c>
      <c r="G11" s="43" t="n">
        <f aca="false">DDM!G8</f>
        <v>0.683013455365071</v>
      </c>
      <c r="H11" s="43" t="n">
        <f aca="false">DDM!H8</f>
        <v>0.620921323059155</v>
      </c>
    </row>
    <row r="12" customFormat="false" ht="15" hidden="false" customHeight="false" outlineLevel="0" collapsed="false">
      <c r="B12" s="26" t="s">
        <v>133</v>
      </c>
      <c r="C12" s="24"/>
      <c r="D12" s="27" t="n">
        <f aca="false">D10*D11</f>
        <v>8543.48181818182</v>
      </c>
      <c r="E12" s="27" t="n">
        <f aca="false">E10*E11</f>
        <v>7997.41591735537</v>
      </c>
      <c r="F12" s="27" t="n">
        <f aca="false">F10*F11</f>
        <v>7378.94908641322</v>
      </c>
      <c r="G12" s="27" t="n">
        <f aca="false">G10*G11</f>
        <v>6703.25688907885</v>
      </c>
      <c r="H12" s="27" t="n">
        <f aca="false">H10*H11</f>
        <v>5978.0863710785</v>
      </c>
    </row>
    <row r="14" customFormat="false" ht="15.75" hidden="false" customHeight="true" outlineLevel="0" collapsed="false">
      <c r="B14" s="23" t="s">
        <v>134</v>
      </c>
      <c r="C14" s="1"/>
      <c r="D14" s="1"/>
      <c r="E14" s="1"/>
      <c r="F14" s="1"/>
      <c r="G14" s="1"/>
      <c r="H14" s="1"/>
      <c r="I14" s="1"/>
    </row>
    <row r="15" customFormat="false" ht="15" hidden="false" customHeight="false" outlineLevel="0" collapsed="false">
      <c r="B15" s="19" t="s">
        <v>135</v>
      </c>
      <c r="C15" s="27" t="n">
        <f aca="false">(Inputs!$C$38-Inputs!$C$34)*Forecast!$C$21</f>
        <v>9252.92678529981</v>
      </c>
    </row>
    <row r="16" customFormat="false" ht="15" hidden="false" customHeight="false" outlineLevel="0" collapsed="false">
      <c r="B16" s="19" t="s">
        <v>136</v>
      </c>
      <c r="C16" s="27" t="n">
        <f aca="false">'Excess Return'!$C$15/(Inputs!$C$34-Inputs!$C$37)</f>
        <v>132184.668361426</v>
      </c>
    </row>
    <row r="17" customFormat="false" ht="15" hidden="false" customHeight="false" outlineLevel="0" collapsed="false">
      <c r="B17" s="26" t="s">
        <v>113</v>
      </c>
      <c r="C17" s="27" t="n">
        <f aca="false">'Excess Return'!$C$16*'Excess Return'!H11</f>
        <v>82076.2791671121</v>
      </c>
    </row>
    <row r="19" customFormat="false" ht="15.75" hidden="false" customHeight="true" outlineLevel="0" collapsed="false">
      <c r="B19" s="23" t="s">
        <v>137</v>
      </c>
      <c r="C19" s="1"/>
      <c r="D19" s="1"/>
      <c r="E19" s="1"/>
      <c r="F19" s="1"/>
      <c r="G19" s="1"/>
      <c r="H19" s="1"/>
      <c r="I19" s="1"/>
    </row>
    <row r="20" customFormat="false" ht="15" hidden="false" customHeight="false" outlineLevel="0" collapsed="false">
      <c r="B20" s="19" t="s">
        <v>138</v>
      </c>
      <c r="C20" s="36" t="n">
        <f aca="false">Inputs!$C$7</f>
        <v>144582</v>
      </c>
    </row>
    <row r="21" customFormat="false" ht="15" hidden="false" customHeight="false" outlineLevel="0" collapsed="false">
      <c r="B21" s="19" t="s">
        <v>139</v>
      </c>
      <c r="C21" s="27" t="n">
        <f aca="false">SUM('Excess Return'!D12:H12)</f>
        <v>36601.1900821078</v>
      </c>
    </row>
    <row r="22" customFormat="false" ht="15" hidden="false" customHeight="false" outlineLevel="0" collapsed="false">
      <c r="B22" s="19" t="s">
        <v>140</v>
      </c>
      <c r="C22" s="36" t="n">
        <f aca="false">'Excess Return'!$C$17</f>
        <v>82076.2791671121</v>
      </c>
    </row>
    <row r="23" customFormat="false" ht="15" hidden="false" customHeight="false" outlineLevel="0" collapsed="false">
      <c r="B23" s="26" t="s">
        <v>121</v>
      </c>
      <c r="C23" s="40" t="n">
        <f aca="false">'Excess Return'!$C$20+'Excess Return'!$C$21+'Excess Return'!$C$22</f>
        <v>263259.46924922</v>
      </c>
    </row>
    <row r="24" customFormat="false" ht="15" hidden="false" customHeight="false" outlineLevel="0" collapsed="false">
      <c r="B24" s="26" t="s">
        <v>123</v>
      </c>
      <c r="C24" s="41" t="n">
        <f aca="false">'Excess Return'!$C$23/Inputs!$C$20</f>
        <v>41.7143827046775</v>
      </c>
    </row>
    <row r="25" customFormat="false" ht="15" hidden="false" customHeight="false" outlineLevel="0" collapsed="false">
      <c r="B25" s="26" t="s">
        <v>141</v>
      </c>
      <c r="C25" s="28" t="n">
        <f aca="false">'Excess Return'!$C$20/'Excess Return'!$C$23</f>
        <v>0.549199618203015</v>
      </c>
    </row>
    <row r="26" customFormat="false" ht="15" hidden="false" customHeight="false" outlineLevel="0" collapsed="false">
      <c r="B26" s="19" t="s">
        <v>142</v>
      </c>
      <c r="C26" s="28" t="n">
        <f aca="false">1-'Excess Return'!$C$25</f>
        <v>0.450800381796985</v>
      </c>
    </row>
    <row r="27" customFormat="false" ht="15" hidden="false" customHeight="false" outlineLevel="0" collapsed="false">
      <c r="B27" s="26" t="s">
        <v>143</v>
      </c>
      <c r="C27" s="39" t="n">
        <f aca="false">'Excess Return'!$C$24-DDM!$C$20</f>
        <v>0</v>
      </c>
    </row>
    <row r="28" customFormat="false" ht="39.75" hidden="false" customHeight="true" outlineLevel="0" collapsed="false">
      <c r="B28" s="18" t="s">
        <v>144</v>
      </c>
      <c r="C28" s="18"/>
      <c r="D28" s="18"/>
      <c r="E28" s="18"/>
      <c r="F28" s="18"/>
      <c r="G28" s="18"/>
      <c r="H28" s="18"/>
      <c r="I28" s="18"/>
    </row>
  </sheetData>
  <mergeCells count="1">
    <mergeCell ref="B28:I28"/>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Bank Valuation — Dividend Discount and Excess Return&amp;R&amp;"Arial,Regular"&amp;8Excess Return</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2"/>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0" t="s">
        <v>39</v>
      </c>
      <c r="C1" s="1"/>
      <c r="D1" s="1"/>
      <c r="E1" s="1"/>
      <c r="F1" s="21" t="s">
        <v>40</v>
      </c>
    </row>
    <row r="2" customFormat="false" ht="18" hidden="false" customHeight="true" outlineLevel="0" collapsed="false">
      <c r="A2" s="1"/>
      <c r="B2" s="22" t="s">
        <v>145</v>
      </c>
      <c r="C2" s="1"/>
      <c r="D2" s="1"/>
      <c r="E2" s="1"/>
      <c r="F2" s="1"/>
    </row>
    <row r="4" customFormat="false" ht="15.75" hidden="false" customHeight="true" outlineLevel="0" collapsed="false">
      <c r="B4" s="23" t="s">
        <v>146</v>
      </c>
      <c r="C4" s="1"/>
      <c r="D4" s="1"/>
      <c r="E4" s="1"/>
      <c r="F4" s="1"/>
    </row>
    <row r="5" customFormat="false" ht="15" hidden="false" customHeight="false" outlineLevel="0" collapsed="false">
      <c r="B5" s="19" t="s">
        <v>147</v>
      </c>
      <c r="C5" s="31" t="n">
        <f aca="false">(Inputs!$C$13-Inputs!$C$37)/(Inputs!$C$34-Inputs!$C$37)</f>
        <v>2.04681933089898</v>
      </c>
    </row>
    <row r="6" customFormat="false" ht="15" hidden="false" customHeight="false" outlineLevel="0" collapsed="false">
      <c r="B6" s="26" t="s">
        <v>148</v>
      </c>
      <c r="C6" s="31" t="n">
        <f aca="false">(Inputs!$C$38-Inputs!$C$37)/(Inputs!$C$34-Inputs!$C$37)</f>
        <v>1.57142857142857</v>
      </c>
    </row>
    <row r="7" customFormat="false" ht="15" hidden="false" customHeight="false" outlineLevel="0" collapsed="false">
      <c r="B7" s="26" t="s">
        <v>149</v>
      </c>
      <c r="C7" s="44" t="n">
        <f aca="false">Inputs!$C$24</f>
        <v>1.35227607862666</v>
      </c>
    </row>
    <row r="8" customFormat="false" ht="15" hidden="false" customHeight="false" outlineLevel="0" collapsed="false">
      <c r="B8" s="19" t="s">
        <v>150</v>
      </c>
      <c r="C8" s="44" t="n">
        <f aca="false">DDM!$C$22</f>
        <v>1.82083156443554</v>
      </c>
    </row>
    <row r="10" customFormat="false" ht="15.75" hidden="false" customHeight="true" outlineLevel="0" collapsed="false">
      <c r="B10" s="23" t="s">
        <v>151</v>
      </c>
      <c r="C10" s="1"/>
      <c r="D10" s="1"/>
      <c r="E10" s="1"/>
      <c r="F10" s="1"/>
    </row>
    <row r="11" customFormat="false" ht="22.35" hidden="false" customHeight="false" outlineLevel="0" collapsed="false">
      <c r="B11" s="26" t="s">
        <v>152</v>
      </c>
      <c r="C11" s="28" t="n">
        <f aca="false">Inputs!$C$37+Inputs!$C$24*(Inputs!$C$34-Inputs!$C$37)</f>
        <v>0.124659325503866</v>
      </c>
      <c r="F11" s="25" t="s">
        <v>153</v>
      </c>
    </row>
    <row r="12" customFormat="false" ht="22.35" hidden="false" customHeight="false" outlineLevel="0" collapsed="false">
      <c r="B12" s="26" t="s">
        <v>154</v>
      </c>
      <c r="C12" s="28" t="n">
        <f aca="false">Inputs!$C$37+(Inputs!$C$38-Inputs!$C$37)/Inputs!$C$24</f>
        <v>0.111344336218469</v>
      </c>
      <c r="F12" s="25" t="s">
        <v>155</v>
      </c>
    </row>
    <row r="14" customFormat="false" ht="15.75" hidden="false" customHeight="true" outlineLevel="0" collapsed="false">
      <c r="B14" s="23" t="s">
        <v>156</v>
      </c>
      <c r="C14" s="1"/>
      <c r="D14" s="1"/>
      <c r="E14" s="1"/>
      <c r="F14" s="1"/>
    </row>
    <row r="15" customFormat="false" ht="15" hidden="false" customHeight="false" outlineLevel="0" collapsed="false">
      <c r="B15" s="26" t="s">
        <v>157</v>
      </c>
      <c r="C15" s="31" t="n">
        <f aca="false">Inputs!$C$39*(1+Inputs!$C$37)/(Inputs!$C$34-Inputs!$C$37)</f>
        <v>11.5612244897959</v>
      </c>
    </row>
    <row r="16" customFormat="false" ht="15" hidden="false" customHeight="false" outlineLevel="0" collapsed="false">
      <c r="B16" s="19" t="s">
        <v>158</v>
      </c>
      <c r="C16" s="44" t="n">
        <f aca="false">Inputs!$C$26</f>
        <v>8.34036259704803</v>
      </c>
    </row>
    <row r="18" customFormat="false" ht="36" hidden="false" customHeight="true" outlineLevel="0" collapsed="false">
      <c r="B18" s="18" t="s">
        <v>159</v>
      </c>
      <c r="C18" s="18"/>
      <c r="D18" s="18"/>
      <c r="E18" s="18"/>
      <c r="F18" s="18"/>
    </row>
  </sheetData>
  <mergeCells count="1">
    <mergeCell ref="B18:F18"/>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Bank Valuation — Dividend Discount and Excess Return&amp;R&amp;"Arial,Regular"&amp;8Justified Multiples</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8" min="3" style="0" width="13.5"/>
  </cols>
  <sheetData>
    <row r="1" customFormat="false" ht="30" hidden="false" customHeight="true" outlineLevel="0" collapsed="false">
      <c r="A1" s="1"/>
      <c r="B1" s="20" t="s">
        <v>39</v>
      </c>
      <c r="C1" s="1"/>
      <c r="D1" s="1"/>
      <c r="E1" s="1"/>
      <c r="F1" s="1"/>
      <c r="G1" s="1"/>
      <c r="H1" s="21" t="s">
        <v>40</v>
      </c>
    </row>
    <row r="2" customFormat="false" ht="18" hidden="false" customHeight="true" outlineLevel="0" collapsed="false">
      <c r="A2" s="1"/>
      <c r="B2" s="22" t="s">
        <v>160</v>
      </c>
      <c r="C2" s="1"/>
      <c r="D2" s="1"/>
      <c r="E2" s="1"/>
      <c r="F2" s="1"/>
      <c r="G2" s="1"/>
      <c r="H2" s="1"/>
    </row>
    <row r="4" customFormat="false" ht="15.75" hidden="false" customHeight="true" outlineLevel="0" collapsed="false">
      <c r="B4" s="23" t="s">
        <v>161</v>
      </c>
      <c r="C4" s="1"/>
      <c r="D4" s="1"/>
      <c r="E4" s="1"/>
      <c r="F4" s="1"/>
      <c r="G4" s="1"/>
      <c r="H4" s="1"/>
    </row>
    <row r="5" customFormat="false" ht="15" hidden="false" customHeight="false" outlineLevel="0" collapsed="false">
      <c r="B5" s="26" t="s">
        <v>162</v>
      </c>
      <c r="C5" s="45" t="n">
        <v>0.02</v>
      </c>
      <c r="D5" s="45" t="n">
        <v>0.025</v>
      </c>
      <c r="E5" s="45" t="n">
        <v>0.03</v>
      </c>
      <c r="F5" s="45" t="n">
        <v>0.035</v>
      </c>
      <c r="G5" s="45" t="n">
        <v>0.04</v>
      </c>
    </row>
    <row r="6" customFormat="false" ht="15" hidden="false" customHeight="false" outlineLevel="0" collapsed="false">
      <c r="B6" s="46" t="n">
        <v>0.09</v>
      </c>
      <c r="C6" s="30" t="n">
        <f aca="false">((Forecast!D10/(1+$B6)^1+Forecast!E10/(1+$B6)^2+Forecast!F10/(1+$B6)^3+Forecast!G10/(1+$B6)^4+Forecast!H10/(1+$B6)^5)+(Forecast!$C$21*Inputs!$C$38*(1-C$5/Inputs!$C$38))/($B6-C$5)/(1+$B6)^5)/Inputs!$C$20</f>
        <v>46.9616884589132</v>
      </c>
      <c r="D6" s="30" t="n">
        <f aca="false">((Forecast!D10/(1+$B6)^1+Forecast!E10/(1+$B6)^2+Forecast!F10/(1+$B6)^3+Forecast!G10/(1+$B6)^4+Forecast!H10/(1+$B6)^5)+(Forecast!$C$21*Inputs!$C$38*(1-D$5/Inputs!$C$38))/($B6-D$5)/(1+$B6)^5)/Inputs!$C$20</f>
        <v>48.2706204329319</v>
      </c>
      <c r="E6" s="30" t="n">
        <f aca="false">((Forecast!D10/(1+$B6)^1+Forecast!E10/(1+$B6)^2+Forecast!F10/(1+$B6)^3+Forecast!G10/(1+$B6)^4+Forecast!H10/(1+$B6)^5)+(Forecast!$C$21*Inputs!$C$38*(1-E$5/Inputs!$C$38))/($B6-E$5)/(1+$B6)^5)/Inputs!$C$20</f>
        <v>49.7977077359536</v>
      </c>
      <c r="F6" s="30" t="n">
        <f aca="false">((Forecast!D10/(1+$B6)^1+Forecast!E10/(1+$B6)^2+Forecast!F10/(1+$B6)^3+Forecast!G10/(1+$B6)^4+Forecast!H10/(1+$B6)^5)+(Forecast!$C$21*Inputs!$C$38*(1-F$5/Inputs!$C$38))/($B6-F$5)/(1+$B6)^5)/Inputs!$C$20</f>
        <v>51.6024472758884</v>
      </c>
      <c r="G6" s="30" t="n">
        <f aca="false">((Forecast!D10/(1+$B6)^1+Forecast!E10/(1+$B6)^2+Forecast!F10/(1+$B6)^3+Forecast!G10/(1+$B6)^4+Forecast!H10/(1+$B6)^5)+(Forecast!$C$21*Inputs!$C$38*(1-G$5/Inputs!$C$38))/($B6-G$5)/(1+$B6)^5)/Inputs!$C$20</f>
        <v>53.7681347238101</v>
      </c>
    </row>
    <row r="7" customFormat="false" ht="15" hidden="false" customHeight="false" outlineLevel="0" collapsed="false">
      <c r="B7" s="46" t="n">
        <v>0.095</v>
      </c>
      <c r="C7" s="30" t="n">
        <f aca="false">((Forecast!D10/(1+$B7)^1+Forecast!E10/(1+$B7)^2+Forecast!F10/(1+$B7)^3+Forecast!G10/(1+$B7)^4+Forecast!H10/(1+$B7)^5)+(Forecast!$C$21*Inputs!$C$38*(1-C$5/Inputs!$C$38))/($B7-C$5)/(1+$B7)^5)/Inputs!$C$20</f>
        <v>43.2892829088913</v>
      </c>
      <c r="D7" s="30" t="n">
        <f aca="false">((Forecast!D10/(1+$B7)^1+Forecast!E10/(1+$B7)^2+Forecast!F10/(1+$B7)^3+Forecast!G10/(1+$B7)^4+Forecast!H10/(1+$B7)^5)+(Forecast!$C$21*Inputs!$C$38*(1-D$5/Inputs!$C$38))/($B7-D$5)/(1+$B7)^5)/Inputs!$C$20</f>
        <v>44.2871520057375</v>
      </c>
      <c r="E7" s="30" t="n">
        <f aca="false">((Forecast!D10/(1+$B7)^1+Forecast!E10/(1+$B7)^2+Forecast!F10/(1+$B7)^3+Forecast!G10/(1+$B7)^4+Forecast!H10/(1+$B7)^5)+(Forecast!$C$21*Inputs!$C$38*(1-E$5/Inputs!$C$38))/($B7-E$5)/(1+$B7)^5)/Inputs!$C$20</f>
        <v>45.4385394251755</v>
      </c>
      <c r="F7" s="30" t="n">
        <f aca="false">((Forecast!D10/(1+$B7)^1+Forecast!E10/(1+$B7)^2+Forecast!F10/(1+$B7)^3+Forecast!G10/(1+$B7)^4+Forecast!H10/(1+$B7)^5)+(Forecast!$C$21*Inputs!$C$38*(1-F$5/Inputs!$C$38))/($B7-F$5)/(1+$B7)^5)/Inputs!$C$20</f>
        <v>46.7818247478531</v>
      </c>
      <c r="G7" s="30" t="n">
        <f aca="false">((Forecast!D10/(1+$B7)^1+Forecast!E10/(1+$B7)^2+Forecast!F10/(1+$B7)^3+Forecast!G10/(1+$B7)^4+Forecast!H10/(1+$B7)^5)+(Forecast!$C$21*Inputs!$C$38*(1-G$5/Inputs!$C$38))/($B7-G$5)/(1+$B7)^5)/Inputs!$C$20</f>
        <v>48.3693437655629</v>
      </c>
    </row>
    <row r="8" customFormat="false" ht="15" hidden="false" customHeight="false" outlineLevel="0" collapsed="false">
      <c r="B8" s="46" t="n">
        <v>0.1</v>
      </c>
      <c r="C8" s="30" t="n">
        <f aca="false">((Forecast!D10/(1+$B8)^1+Forecast!E10/(1+$B8)^2+Forecast!F10/(1+$B8)^3+Forecast!G10/(1+$B8)^4+Forecast!H10/(1+$B8)^5)+(Forecast!$C$21*Inputs!$C$38*(1-C$5/Inputs!$C$38))/($B8-C$5)/(1+$B8)^5)/Inputs!$C$20</f>
        <v>40.0887235546397</v>
      </c>
      <c r="D8" s="30" t="n">
        <f aca="false">((Forecast!D10/(1+$B8)^1+Forecast!E10/(1+$B8)^2+Forecast!F10/(1+$B8)^3+Forecast!G10/(1+$B8)^4+Forecast!H10/(1+$B8)^5)+(Forecast!$C$21*Inputs!$C$38*(1-D$5/Inputs!$C$38))/($B8-D$5)/(1+$B8)^5)/Inputs!$C$20</f>
        <v>40.847364491324</v>
      </c>
      <c r="E8" s="47" t="n">
        <f aca="false">((Forecast!D10/(1+$B8)^1+Forecast!E10/(1+$B8)^2+Forecast!F10/(1+$B8)^3+Forecast!G10/(1+$B8)^4+Forecast!H10/(1+$B8)^5)+(Forecast!$C$21*Inputs!$C$38*(1-E$5/Inputs!$C$38))/($B8-E$5)/(1+$B8)^5)/Inputs!$C$20</f>
        <v>41.7143827046775</v>
      </c>
      <c r="F8" s="30" t="n">
        <f aca="false">((Forecast!D10/(1+$B8)^1+Forecast!E10/(1+$B8)^2+Forecast!F10/(1+$B8)^3+Forecast!G10/(1+$B8)^4+Forecast!H10/(1+$B8)^5)+(Forecast!$C$21*Inputs!$C$38*(1-F$5/Inputs!$C$38))/($B8-F$5)/(1+$B8)^5)/Inputs!$C$20</f>
        <v>42.7147883354701</v>
      </c>
      <c r="G8" s="30" t="n">
        <f aca="false">((Forecast!D10/(1+$B8)^1+Forecast!E10/(1+$B8)^2+Forecast!F10/(1+$B8)^3+Forecast!G10/(1+$B8)^4+Forecast!H10/(1+$B8)^5)+(Forecast!$C$21*Inputs!$C$38*(1-G$5/Inputs!$C$38))/($B8-G$5)/(1+$B8)^5)/Inputs!$C$20</f>
        <v>43.8819282380613</v>
      </c>
    </row>
    <row r="9" customFormat="false" ht="15" hidden="false" customHeight="false" outlineLevel="0" collapsed="false">
      <c r="B9" s="46" t="n">
        <v>0.105</v>
      </c>
      <c r="C9" s="30" t="n">
        <f aca="false">((Forecast!D10/(1+$B9)^1+Forecast!E10/(1+$B9)^2+Forecast!F10/(1+$B9)^3+Forecast!G10/(1+$B9)^4+Forecast!H10/(1+$B9)^5)+(Forecast!$C$21*Inputs!$C$38*(1-C$5/Inputs!$C$38))/($B9-C$5)/(1+$B9)^5)/Inputs!$C$20</f>
        <v>37.2763792658031</v>
      </c>
      <c r="D9" s="30" t="n">
        <f aca="false">((Forecast!D10/(1+$B9)^1+Forecast!E10/(1+$B9)^2+Forecast!F10/(1+$B9)^3+Forecast!G10/(1+$B9)^4+Forecast!H10/(1+$B9)^5)+(Forecast!$C$21*Inputs!$C$38*(1-D$5/Inputs!$C$38))/($B9-D$5)/(1+$B9)^5)/Inputs!$C$20</f>
        <v>37.8489625960531</v>
      </c>
      <c r="E9" s="30" t="n">
        <f aca="false">((Forecast!D10/(1+$B9)^1+Forecast!E10/(1+$B9)^2+Forecast!F10/(1+$B9)^3+Forecast!G10/(1+$B9)^4+Forecast!H10/(1+$B9)^5)+(Forecast!$C$21*Inputs!$C$38*(1-E$5/Inputs!$C$38))/($B9-E$5)/(1+$B9)^5)/Inputs!$C$20</f>
        <v>38.4978903703364</v>
      </c>
      <c r="F9" s="30" t="n">
        <f aca="false">((Forecast!D10/(1+$B9)^1+Forecast!E10/(1+$B9)^2+Forecast!F10/(1+$B9)^3+Forecast!G10/(1+$B9)^4+Forecast!H10/(1+$B9)^5)+(Forecast!$C$21*Inputs!$C$38*(1-F$5/Inputs!$C$38))/($B9-F$5)/(1+$B9)^5)/Inputs!$C$20</f>
        <v>39.2395221123744</v>
      </c>
      <c r="G9" s="30" t="n">
        <f aca="false">((Forecast!D10/(1+$B9)^1+Forecast!E10/(1+$B9)^2+Forecast!F10/(1+$B9)^3+Forecast!G10/(1+$B9)^4+Forecast!H10/(1+$B9)^5)+(Forecast!$C$21*Inputs!$C$38*(1-G$5/Inputs!$C$38))/($B9-G$5)/(1+$B9)^5)/Inputs!$C$20</f>
        <v>40.0952510454953</v>
      </c>
    </row>
    <row r="10" customFormat="false" ht="15" hidden="false" customHeight="false" outlineLevel="0" collapsed="false">
      <c r="B10" s="46" t="n">
        <v>0.11</v>
      </c>
      <c r="C10" s="30" t="n">
        <f aca="false">((Forecast!D10/(1+$B10)^1+Forecast!E10/(1+$B10)^2+Forecast!F10/(1+$B10)^3+Forecast!G10/(1+$B10)^4+Forecast!H10/(1+$B10)^5)+(Forecast!$C$21*Inputs!$C$38*(1-C$5/Inputs!$C$38))/($B10-C$5)/(1+$B10)^5)/Inputs!$C$20</f>
        <v>34.7872156077244</v>
      </c>
      <c r="D10" s="30" t="n">
        <f aca="false">((Forecast!D10/(1+$B10)^1+Forecast!E10/(1+$B10)^2+Forecast!F10/(1+$B10)^3+Forecast!G10/(1+$B10)^4+Forecast!H10/(1+$B10)^5)+(Forecast!$C$21*Inputs!$C$38*(1-D$5/Inputs!$C$38))/($B10-D$5)/(1+$B10)^5)/Inputs!$C$20</f>
        <v>35.2137321543987</v>
      </c>
      <c r="E10" s="30" t="n">
        <f aca="false">((Forecast!D10/(1+$B10)^1+Forecast!E10/(1+$B10)^2+Forecast!F10/(1+$B10)^3+Forecast!G10/(1+$B10)^4+Forecast!H10/(1+$B10)^5)+(Forecast!$C$21*Inputs!$C$38*(1-E$5/Inputs!$C$38))/($B10-E$5)/(1+$B10)^5)/Inputs!$C$20</f>
        <v>35.6935632694072</v>
      </c>
      <c r="F10" s="30" t="n">
        <f aca="false">((Forecast!D10/(1+$B10)^1+Forecast!E10/(1+$B10)^2+Forecast!F10/(1+$B10)^3+Forecast!G10/(1+$B10)^4+Forecast!H10/(1+$B10)^5)+(Forecast!$C$21*Inputs!$C$38*(1-F$5/Inputs!$C$38))/($B10-F$5)/(1+$B10)^5)/Inputs!$C$20</f>
        <v>36.2373718664169</v>
      </c>
      <c r="G10" s="30" t="n">
        <f aca="false">((Forecast!D10/(1+$B10)^1+Forecast!E10/(1+$B10)^2+Forecast!F10/(1+$B10)^3+Forecast!G10/(1+$B10)^4+Forecast!H10/(1+$B10)^5)+(Forecast!$C$21*Inputs!$C$38*(1-G$5/Inputs!$C$38))/($B10-G$5)/(1+$B10)^5)/Inputs!$C$20</f>
        <v>36.8588674058565</v>
      </c>
    </row>
    <row r="12" customFormat="false" ht="15.75" hidden="false" customHeight="true" outlineLevel="0" collapsed="false">
      <c r="B12" s="23" t="s">
        <v>163</v>
      </c>
      <c r="C12" s="1"/>
      <c r="D12" s="1"/>
      <c r="E12" s="1"/>
      <c r="F12" s="1"/>
      <c r="G12" s="1"/>
      <c r="H12" s="1"/>
    </row>
    <row r="13" customFormat="false" ht="15" hidden="false" customHeight="false" outlineLevel="0" collapsed="false">
      <c r="B13" s="26" t="s">
        <v>162</v>
      </c>
      <c r="C13" s="45" t="n">
        <v>0.12</v>
      </c>
      <c r="D13" s="45" t="n">
        <v>0.13</v>
      </c>
      <c r="E13" s="45" t="n">
        <v>0.14</v>
      </c>
      <c r="F13" s="45" t="n">
        <v>0.15</v>
      </c>
      <c r="G13" s="45" t="n">
        <v>0.16</v>
      </c>
    </row>
    <row r="14" customFormat="false" ht="15" hidden="false" customHeight="false" outlineLevel="0" collapsed="false">
      <c r="B14" s="46" t="n">
        <v>0.09</v>
      </c>
      <c r="C14" s="30" t="n">
        <f aca="false">((Forecast!D10/(1+$B14)^1+Forecast!E10/(1+$B14)^2+Forecast!F10/(1+$B14)^3+Forecast!G10/(1+$B14)^4+Forecast!H10/(1+$B14)^5)+(Forecast!$C$21*C$13*(1-Inputs!$C$37/C$13))/($B14-Inputs!$C$37)/(1+$B14)^5)/Inputs!$C$20</f>
        <v>41.8568537602406</v>
      </c>
      <c r="D14" s="30" t="n">
        <f aca="false">((Forecast!D10/(1+$B14)^1+Forecast!E10/(1+$B14)^2+Forecast!F10/(1+$B14)^3+Forecast!G10/(1+$B14)^4+Forecast!H10/(1+$B14)^5)+(Forecast!$C$21*D$13*(1-Inputs!$C$37/D$13))/($B14-Inputs!$C$37)/(1+$B14)^5)/Inputs!$C$20</f>
        <v>45.8272807480971</v>
      </c>
      <c r="E14" s="30" t="n">
        <f aca="false">((Forecast!D10/(1+$B14)^1+Forecast!E10/(1+$B14)^2+Forecast!F10/(1+$B14)^3+Forecast!G10/(1+$B14)^4+Forecast!H10/(1+$B14)^5)+(Forecast!$C$21*E$13*(1-Inputs!$C$37/E$13))/($B14-Inputs!$C$37)/(1+$B14)^5)/Inputs!$C$20</f>
        <v>49.7977077359536</v>
      </c>
      <c r="F14" s="30" t="n">
        <f aca="false">((Forecast!D10/(1+$B14)^1+Forecast!E10/(1+$B14)^2+Forecast!F10/(1+$B14)^3+Forecast!G10/(1+$B14)^4+Forecast!H10/(1+$B14)^5)+(Forecast!$C$21*F$13*(1-Inputs!$C$37/F$13))/($B14-Inputs!$C$37)/(1+$B14)^5)/Inputs!$C$20</f>
        <v>53.7681347238101</v>
      </c>
      <c r="G14" s="30" t="n">
        <f aca="false">((Forecast!D10/(1+$B14)^1+Forecast!E10/(1+$B14)^2+Forecast!F10/(1+$B14)^3+Forecast!G10/(1+$B14)^4+Forecast!H10/(1+$B14)^5)+(Forecast!$C$21*G$13*(1-Inputs!$C$37/G$13))/($B14-Inputs!$C$37)/(1+$B14)^5)/Inputs!$C$20</f>
        <v>57.7385617116666</v>
      </c>
    </row>
    <row r="15" customFormat="false" ht="15" hidden="false" customHeight="false" outlineLevel="0" collapsed="false">
      <c r="B15" s="46" t="n">
        <v>0.095</v>
      </c>
      <c r="C15" s="30" t="n">
        <f aca="false">((Forecast!D10/(1+$B15)^1+Forecast!E10/(1+$B15)^2+Forecast!F10/(1+$B15)^3+Forecast!G10/(1+$B15)^4+Forecast!H10/(1+$B15)^5)+(Forecast!$C$21*C$13*(1-Inputs!$C$37/C$13))/($B15-Inputs!$C$37)/(1+$B15)^5)/Inputs!$C$20</f>
        <v>38.2743510375617</v>
      </c>
      <c r="D15" s="30" t="n">
        <f aca="false">((Forecast!D10/(1+$B15)^1+Forecast!E10/(1+$B15)^2+Forecast!F10/(1+$B15)^3+Forecast!G10/(1+$B15)^4+Forecast!H10/(1+$B15)^5)+(Forecast!$C$21*D$13*(1-Inputs!$C$37/D$13))/($B15-Inputs!$C$37)/(1+$B15)^5)/Inputs!$C$20</f>
        <v>41.8564452313686</v>
      </c>
      <c r="E15" s="30" t="n">
        <f aca="false">((Forecast!D10/(1+$B15)^1+Forecast!E10/(1+$B15)^2+Forecast!F10/(1+$B15)^3+Forecast!G10/(1+$B15)^4+Forecast!H10/(1+$B15)^5)+(Forecast!$C$21*E$13*(1-Inputs!$C$37/E$13))/($B15-Inputs!$C$37)/(1+$B15)^5)/Inputs!$C$20</f>
        <v>45.4385394251755</v>
      </c>
      <c r="F15" s="30" t="n">
        <f aca="false">((Forecast!D10/(1+$B15)^1+Forecast!E10/(1+$B15)^2+Forecast!F10/(1+$B15)^3+Forecast!G10/(1+$B15)^4+Forecast!H10/(1+$B15)^5)+(Forecast!$C$21*F$13*(1-Inputs!$C$37/F$13))/($B15-Inputs!$C$37)/(1+$B15)^5)/Inputs!$C$20</f>
        <v>49.0206336189824</v>
      </c>
      <c r="G15" s="30" t="n">
        <f aca="false">((Forecast!D10/(1+$B15)^1+Forecast!E10/(1+$B15)^2+Forecast!F10/(1+$B15)^3+Forecast!G10/(1+$B15)^4+Forecast!H10/(1+$B15)^5)+(Forecast!$C$21*G$13*(1-Inputs!$C$37/G$13))/($B15-Inputs!$C$37)/(1+$B15)^5)/Inputs!$C$20</f>
        <v>52.6027278127893</v>
      </c>
    </row>
    <row r="16" customFormat="false" ht="15" hidden="false" customHeight="false" outlineLevel="0" collapsed="false">
      <c r="B16" s="46" t="n">
        <v>0.1</v>
      </c>
      <c r="C16" s="30" t="n">
        <f aca="false">((Forecast!D10/(1+$B16)^1+Forecast!E10/(1+$B16)^2+Forecast!F10/(1+$B16)^3+Forecast!G10/(1+$B16)^4+Forecast!H10/(1+$B16)^5)+(Forecast!$C$21*C$13*(1-Inputs!$C$37/C$13))/($B16-Inputs!$C$37)/(1+$B16)^5)/Inputs!$C$20</f>
        <v>35.211746104526</v>
      </c>
      <c r="D16" s="30" t="n">
        <f aca="false">((Forecast!D10/(1+$B16)^1+Forecast!E10/(1+$B16)^2+Forecast!F10/(1+$B16)^3+Forecast!G10/(1+$B16)^4+Forecast!H10/(1+$B16)^5)+(Forecast!$C$21*D$13*(1-Inputs!$C$37/D$13))/($B16-Inputs!$C$37)/(1+$B16)^5)/Inputs!$C$20</f>
        <v>38.4630644046018</v>
      </c>
      <c r="E16" s="47" t="n">
        <f aca="false">((Forecast!D10/(1+$B16)^1+Forecast!E10/(1+$B16)^2+Forecast!F10/(1+$B16)^3+Forecast!G10/(1+$B16)^4+Forecast!H10/(1+$B16)^5)+(Forecast!$C$21*E$13*(1-Inputs!$C$37/E$13))/($B16-Inputs!$C$37)/(1+$B16)^5)/Inputs!$C$20</f>
        <v>41.7143827046775</v>
      </c>
      <c r="F16" s="30" t="n">
        <f aca="false">((Forecast!D10/(1+$B16)^1+Forecast!E10/(1+$B16)^2+Forecast!F10/(1+$B16)^3+Forecast!G10/(1+$B16)^4+Forecast!H10/(1+$B16)^5)+(Forecast!$C$21*F$13*(1-Inputs!$C$37/F$13))/($B16-Inputs!$C$37)/(1+$B16)^5)/Inputs!$C$20</f>
        <v>44.9657010047533</v>
      </c>
      <c r="G16" s="30" t="n">
        <f aca="false">((Forecast!D10/(1+$B16)^1+Forecast!E10/(1+$B16)^2+Forecast!F10/(1+$B16)^3+Forecast!G10/(1+$B16)^4+Forecast!H10/(1+$B16)^5)+(Forecast!$C$21*G$13*(1-Inputs!$C$37/G$13))/($B16-Inputs!$C$37)/(1+$B16)^5)/Inputs!$C$20</f>
        <v>48.217019304829</v>
      </c>
    </row>
    <row r="17" customFormat="false" ht="15" hidden="false" customHeight="false" outlineLevel="0" collapsed="false">
      <c r="B17" s="46" t="n">
        <v>0.105</v>
      </c>
      <c r="C17" s="30" t="n">
        <f aca="false">((Forecast!D10/(1+$B17)^1+Forecast!E10/(1+$B17)^2+Forecast!F10/(1+$B17)^3+Forecast!G10/(1+$B17)^4+Forecast!H10/(1+$B17)^5)+(Forecast!$C$21*C$13*(1-Inputs!$C$37/C$13))/($B17-Inputs!$C$37)/(1+$B17)^5)/Inputs!$C$20</f>
        <v>32.564836434032</v>
      </c>
      <c r="D17" s="30" t="n">
        <f aca="false">((Forecast!D10/(1+$B17)^1+Forecast!E10/(1+$B17)^2+Forecast!F10/(1+$B17)^3+Forecast!G10/(1+$B17)^4+Forecast!H10/(1+$B17)^5)+(Forecast!$C$21*D$13*(1-Inputs!$C$37/D$13))/($B17-Inputs!$C$37)/(1+$B17)^5)/Inputs!$C$20</f>
        <v>35.5313634021842</v>
      </c>
      <c r="E17" s="30" t="n">
        <f aca="false">((Forecast!D10/(1+$B17)^1+Forecast!E10/(1+$B17)^2+Forecast!F10/(1+$B17)^3+Forecast!G10/(1+$B17)^4+Forecast!H10/(1+$B17)^5)+(Forecast!$C$21*E$13*(1-Inputs!$C$37/E$13))/($B17-Inputs!$C$37)/(1+$B17)^5)/Inputs!$C$20</f>
        <v>38.4978903703364</v>
      </c>
      <c r="F17" s="30" t="n">
        <f aca="false">((Forecast!D10/(1+$B17)^1+Forecast!E10/(1+$B17)^2+Forecast!F10/(1+$B17)^3+Forecast!G10/(1+$B17)^4+Forecast!H10/(1+$B17)^5)+(Forecast!$C$21*F$13*(1-Inputs!$C$37/F$13))/($B17-Inputs!$C$37)/(1+$B17)^5)/Inputs!$C$20</f>
        <v>41.4644173384886</v>
      </c>
      <c r="G17" s="30" t="n">
        <f aca="false">((Forecast!D10/(1+$B17)^1+Forecast!E10/(1+$B17)^2+Forecast!F10/(1+$B17)^3+Forecast!G10/(1+$B17)^4+Forecast!H10/(1+$B17)^5)+(Forecast!$C$21*G$13*(1-Inputs!$C$37/G$13))/($B17-Inputs!$C$37)/(1+$B17)^5)/Inputs!$C$20</f>
        <v>44.4309443066408</v>
      </c>
    </row>
    <row r="18" customFormat="false" ht="15" hidden="false" customHeight="false" outlineLevel="0" collapsed="false">
      <c r="B18" s="46" t="n">
        <v>0.11</v>
      </c>
      <c r="C18" s="30" t="n">
        <f aca="false">((Forecast!D10/(1+$B18)^1+Forecast!E10/(1+$B18)^2+Forecast!F10/(1+$B18)^3+Forecast!G10/(1+$B18)^4+Forecast!H10/(1+$B18)^5)+(Forecast!$C$21*C$13*(1-Inputs!$C$37/C$13))/($B18-Inputs!$C$37)/(1+$B18)^5)/Inputs!$C$20</f>
        <v>30.2554772993106</v>
      </c>
      <c r="D18" s="30" t="n">
        <f aca="false">((Forecast!D10/(1+$B18)^1+Forecast!E10/(1+$B18)^2+Forecast!F10/(1+$B18)^3+Forecast!G10/(1+$B18)^4+Forecast!H10/(1+$B18)^5)+(Forecast!$C$21*D$13*(1-Inputs!$C$37/D$13))/($B18-Inputs!$C$37)/(1+$B18)^5)/Inputs!$C$20</f>
        <v>32.9745202843589</v>
      </c>
      <c r="E18" s="30" t="n">
        <f aca="false">((Forecast!D10/(1+$B18)^1+Forecast!E10/(1+$B18)^2+Forecast!F10/(1+$B18)^3+Forecast!G10/(1+$B18)^4+Forecast!H10/(1+$B18)^5)+(Forecast!$C$21*E$13*(1-Inputs!$C$37/E$13))/($B18-Inputs!$C$37)/(1+$B18)^5)/Inputs!$C$20</f>
        <v>35.6935632694072</v>
      </c>
      <c r="F18" s="30" t="n">
        <f aca="false">((Forecast!D10/(1+$B18)^1+Forecast!E10/(1+$B18)^2+Forecast!F10/(1+$B18)^3+Forecast!G10/(1+$B18)^4+Forecast!H10/(1+$B18)^5)+(Forecast!$C$21*F$13*(1-Inputs!$C$37/F$13))/($B18-Inputs!$C$37)/(1+$B18)^5)/Inputs!$C$20</f>
        <v>38.4126062544555</v>
      </c>
      <c r="G18" s="30" t="n">
        <f aca="false">((Forecast!D10/(1+$B18)^1+Forecast!E10/(1+$B18)^2+Forecast!F10/(1+$B18)^3+Forecast!G10/(1+$B18)^4+Forecast!H10/(1+$B18)^5)+(Forecast!$C$21*G$13*(1-Inputs!$C$37/G$13))/($B18-Inputs!$C$37)/(1+$B18)^5)/Inputs!$C$20</f>
        <v>41.1316492395038</v>
      </c>
    </row>
    <row r="20" customFormat="false" ht="30" hidden="false" customHeight="true" outlineLevel="0" collapsed="false">
      <c r="B20" s="18" t="s">
        <v>164</v>
      </c>
      <c r="C20" s="18"/>
      <c r="D20" s="18"/>
      <c r="E20" s="18"/>
      <c r="F20" s="18"/>
      <c r="G20" s="18"/>
      <c r="H20" s="18"/>
    </row>
  </sheetData>
  <mergeCells count="1">
    <mergeCell ref="B20:H20"/>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Bank Valuation — Dividend Discount and Excess Return&amp;R&amp;"Arial,Regular"&amp;8Sensitivity</oddHeader>
    <oddFooter>&amp;L&amp;"Arial,Regular"&amp;8Jainam Mehta · github.com/jainammehta1215/ib-portfolio&amp;C&amp;"Arial,Regular"&amp;8Blue = input · Black = formula · Green = link&amp;R&amp;"Arial,Regular"&amp;8Page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0" t="s">
        <v>39</v>
      </c>
      <c r="C1" s="1"/>
      <c r="D1" s="1"/>
      <c r="E1" s="1"/>
      <c r="F1" s="21" t="s">
        <v>40</v>
      </c>
    </row>
    <row r="2" customFormat="false" ht="18" hidden="false" customHeight="true" outlineLevel="0" collapsed="false">
      <c r="A2" s="1"/>
      <c r="B2" s="22" t="s">
        <v>165</v>
      </c>
      <c r="C2" s="1"/>
      <c r="D2" s="1"/>
      <c r="E2" s="1"/>
      <c r="F2" s="1"/>
    </row>
    <row r="4" customFormat="false" ht="15.75" hidden="false" customHeight="true" outlineLevel="0" collapsed="false">
      <c r="B4" s="23" t="s">
        <v>166</v>
      </c>
      <c r="C4" s="1"/>
      <c r="D4" s="1"/>
      <c r="E4" s="1"/>
      <c r="F4" s="1"/>
    </row>
    <row r="5" customFormat="false" ht="15" hidden="false" customHeight="false" outlineLevel="0" collapsed="false">
      <c r="B5" s="19" t="s">
        <v>53</v>
      </c>
      <c r="C5" s="42" t="n">
        <f aca="false">Inputs!$C$13</f>
        <v>0.173277353162929</v>
      </c>
    </row>
    <row r="6" customFormat="false" ht="15" hidden="false" customHeight="false" outlineLevel="0" collapsed="false">
      <c r="B6" s="19" t="s">
        <v>61</v>
      </c>
      <c r="C6" s="48" t="n">
        <f aca="false">Inputs!$C$22</f>
        <v>22.9095230549834</v>
      </c>
    </row>
    <row r="7" customFormat="false" ht="15" hidden="false" customHeight="false" outlineLevel="0" collapsed="false">
      <c r="B7" s="19" t="s">
        <v>167</v>
      </c>
      <c r="C7" s="48" t="n">
        <f aca="false">Inputs!$C$19</f>
        <v>30.98</v>
      </c>
    </row>
    <row r="8" customFormat="false" ht="15" hidden="false" customHeight="false" outlineLevel="0" collapsed="false">
      <c r="B8" s="26" t="s">
        <v>63</v>
      </c>
      <c r="C8" s="44" t="n">
        <f aca="false">Inputs!$C$24</f>
        <v>1.35227607862666</v>
      </c>
    </row>
    <row r="9" customFormat="false" ht="15" hidden="false" customHeight="false" outlineLevel="0" collapsed="false">
      <c r="B9" s="19" t="s">
        <v>168</v>
      </c>
      <c r="C9" s="42" t="n">
        <f aca="false">Inputs!$C$34</f>
        <v>0.1</v>
      </c>
    </row>
    <row r="11" customFormat="false" ht="15.75" hidden="false" customHeight="true" outlineLevel="0" collapsed="false">
      <c r="B11" s="23" t="s">
        <v>169</v>
      </c>
      <c r="C11" s="1"/>
      <c r="D11" s="1"/>
      <c r="E11" s="1"/>
      <c r="F11" s="1"/>
    </row>
    <row r="12" customFormat="false" ht="15" hidden="false" customHeight="false" outlineLevel="0" collapsed="false">
      <c r="B12" s="26" t="s">
        <v>170</v>
      </c>
      <c r="C12" s="48" t="n">
        <f aca="false">DDM!$C$20</f>
        <v>41.7143827046775</v>
      </c>
    </row>
    <row r="13" customFormat="false" ht="15" hidden="false" customHeight="false" outlineLevel="0" collapsed="false">
      <c r="B13" s="26" t="s">
        <v>24</v>
      </c>
      <c r="C13" s="48" t="n">
        <f aca="false">'Excess Return'!$C$24</f>
        <v>41.7143827046775</v>
      </c>
    </row>
    <row r="14" customFormat="false" ht="15" hidden="false" customHeight="false" outlineLevel="0" collapsed="false">
      <c r="B14" s="26" t="s">
        <v>171</v>
      </c>
      <c r="C14" s="42" t="n">
        <f aca="false">DDM!$C$21</f>
        <v>0.346493954314962</v>
      </c>
    </row>
    <row r="15" customFormat="false" ht="15" hidden="false" customHeight="false" outlineLevel="0" collapsed="false">
      <c r="B15" s="19" t="s">
        <v>172</v>
      </c>
      <c r="C15" s="44" t="n">
        <f aca="false">DDM!$C$22</f>
        <v>1.82083156443554</v>
      </c>
    </row>
    <row r="16" customFormat="false" ht="15" hidden="false" customHeight="false" outlineLevel="0" collapsed="false">
      <c r="B16" s="19" t="s">
        <v>173</v>
      </c>
      <c r="C16" s="42" t="n">
        <f aca="false">'Excess Return'!$C$25</f>
        <v>0.549199618203015</v>
      </c>
    </row>
    <row r="17" customFormat="false" ht="15" hidden="false" customHeight="false" outlineLevel="0" collapsed="false">
      <c r="B17" s="19" t="s">
        <v>174</v>
      </c>
      <c r="C17" s="42" t="n">
        <f aca="false">DDM!$C$19</f>
        <v>0.857366188396763</v>
      </c>
    </row>
    <row r="19" customFormat="false" ht="15.75" hidden="false" customHeight="true" outlineLevel="0" collapsed="false">
      <c r="B19" s="23" t="s">
        <v>151</v>
      </c>
      <c r="C19" s="1"/>
      <c r="D19" s="1"/>
      <c r="E19" s="1"/>
      <c r="F19" s="1"/>
    </row>
    <row r="20" customFormat="false" ht="15" hidden="false" customHeight="false" outlineLevel="0" collapsed="false">
      <c r="B20" s="19" t="s">
        <v>175</v>
      </c>
      <c r="C20" s="44" t="n">
        <f aca="false">'Justified Multiples'!$C$6</f>
        <v>1.57142857142857</v>
      </c>
    </row>
    <row r="21" customFormat="false" ht="15" hidden="false" customHeight="false" outlineLevel="0" collapsed="false">
      <c r="B21" s="26" t="s">
        <v>26</v>
      </c>
      <c r="C21" s="42" t="n">
        <f aca="false">'Justified Multiples'!$C$11</f>
        <v>0.124659325503866</v>
      </c>
    </row>
    <row r="22" customFormat="false" ht="15" hidden="false" customHeight="false" outlineLevel="0" collapsed="false">
      <c r="B22" s="26" t="s">
        <v>176</v>
      </c>
      <c r="C22" s="49" t="n">
        <f aca="false">'Justified Multiples'!$C$12</f>
        <v>0.111344336218469</v>
      </c>
    </row>
    <row r="24" customFormat="false" ht="45" hidden="false" customHeight="true" outlineLevel="0" collapsed="false">
      <c r="B24" s="18" t="s">
        <v>177</v>
      </c>
      <c r="C24" s="18"/>
      <c r="D24" s="18"/>
      <c r="E24" s="18"/>
      <c r="F24" s="18"/>
    </row>
    <row r="25" customFormat="false" ht="60" hidden="false" customHeight="true" outlineLevel="0" collapsed="false">
      <c r="B25" s="18" t="s">
        <v>178</v>
      </c>
      <c r="C25" s="18"/>
      <c r="D25" s="18"/>
      <c r="E25" s="18"/>
      <c r="F25" s="18"/>
    </row>
    <row r="26" customFormat="false" ht="45" hidden="false" customHeight="true" outlineLevel="0" collapsed="false">
      <c r="B26" s="18" t="s">
        <v>179</v>
      </c>
      <c r="C26" s="18"/>
      <c r="D26" s="18"/>
      <c r="E26" s="18"/>
      <c r="F26" s="18"/>
    </row>
    <row r="27" customFormat="false" ht="45" hidden="false" customHeight="true" outlineLevel="0" collapsed="false">
      <c r="B27" s="18" t="s">
        <v>180</v>
      </c>
      <c r="C27" s="18"/>
      <c r="D27" s="18"/>
      <c r="E27" s="18"/>
      <c r="F27" s="18"/>
    </row>
  </sheetData>
  <mergeCells count="4">
    <mergeCell ref="B24:F24"/>
    <mergeCell ref="B25:F25"/>
    <mergeCell ref="B26:F26"/>
    <mergeCell ref="B27:F27"/>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Bank Valuation — Dividend Discount and Excess Return&amp;R&amp;"Arial,Regular"&amp;8Summary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4"/>
    <col collapsed="false" customWidth="true" hidden="false" outlineLevel="0" max="5" min="3" style="0" width="16"/>
  </cols>
  <sheetData>
    <row r="1" customFormat="false" ht="30" hidden="false" customHeight="true" outlineLevel="0" collapsed="false">
      <c r="A1" s="1"/>
      <c r="B1" s="20" t="s">
        <v>39</v>
      </c>
      <c r="C1" s="1"/>
      <c r="D1" s="1"/>
      <c r="E1" s="21" t="s">
        <v>40</v>
      </c>
    </row>
    <row r="2" customFormat="false" ht="18" hidden="false" customHeight="true" outlineLevel="0" collapsed="false">
      <c r="A2" s="1"/>
      <c r="B2" s="22" t="s">
        <v>181</v>
      </c>
      <c r="C2" s="1"/>
      <c r="D2" s="1"/>
      <c r="E2" s="1"/>
    </row>
    <row r="4" customFormat="false" ht="15.75" hidden="false" customHeight="true" outlineLevel="0" collapsed="false">
      <c r="B4" s="23" t="s">
        <v>182</v>
      </c>
      <c r="C4" s="1"/>
      <c r="D4" s="1"/>
      <c r="E4" s="1"/>
    </row>
    <row r="5" customFormat="false" ht="15" hidden="false" customHeight="false" outlineLevel="0" collapsed="false">
      <c r="B5" s="19" t="s">
        <v>183</v>
      </c>
      <c r="C5" s="50" t="b">
        <f aca="false">AND(ABS(Inputs!$C$7-144582)&lt;1,ABS(Inputs!$C$5-23442)&lt;1,ABS(Inputs!$C$20-6311)&lt;1)</f>
        <v>1</v>
      </c>
    </row>
    <row r="6" customFormat="false" ht="15" hidden="false" customHeight="false" outlineLevel="0" collapsed="false">
      <c r="B6" s="19" t="s">
        <v>184</v>
      </c>
      <c r="C6" s="50" t="b">
        <f aca="false">AND(ABS(Forecast!D11-(Forecast!D6+Forecast!D8-Forecast!D10))&lt;0.01,ABS(Forecast!E11-(Forecast!E6+Forecast!E8-Forecast!E10))&lt;0.01,ABS(Forecast!F11-(Forecast!F6+Forecast!F8-Forecast!F10))&lt;0.01,ABS(Forecast!G11-(Forecast!G6+Forecast!G8-Forecast!G10))&lt;0.01,ABS(Forecast!H11-(Forecast!H6+Forecast!H8-Forecast!H10))&lt;0.01)</f>
        <v>1</v>
      </c>
    </row>
    <row r="7" customFormat="false" ht="15" hidden="false" customHeight="false" outlineLevel="0" collapsed="false">
      <c r="B7" s="19" t="s">
        <v>185</v>
      </c>
      <c r="C7" s="50" t="b">
        <f aca="false">AND(ABS(Forecast!D6-Forecast!C11)&lt;0.01,ABS(Forecast!E6-Forecast!D11)&lt;0.01,ABS(Forecast!F6-Forecast!E11)&lt;0.01,ABS(Forecast!G6-Forecast!F11)&lt;0.01,ABS(Forecast!H6-Forecast!G11)&lt;0.01)</f>
        <v>1</v>
      </c>
    </row>
    <row r="8" customFormat="false" ht="15" hidden="false" customHeight="false" outlineLevel="0" collapsed="false">
      <c r="B8" s="19" t="s">
        <v>186</v>
      </c>
      <c r="C8" s="50" t="b">
        <f aca="false">ABS(Forecast!$C$25-Inputs!$C$37)&lt;0.00001</f>
        <v>1</v>
      </c>
    </row>
    <row r="9" customFormat="false" ht="15" hidden="false" customHeight="false" outlineLevel="0" collapsed="false">
      <c r="B9" s="19" t="s">
        <v>187</v>
      </c>
      <c r="C9" s="50" t="b">
        <f aca="false">Inputs!$C$37&lt;Inputs!$C$34</f>
        <v>1</v>
      </c>
    </row>
    <row r="10" customFormat="false" ht="15" hidden="false" customHeight="false" outlineLevel="0" collapsed="false">
      <c r="B10" s="19" t="s">
        <v>188</v>
      </c>
      <c r="C10" s="50" t="b">
        <f aca="false">Inputs!$C$38&gt;Inputs!$C$34</f>
        <v>1</v>
      </c>
    </row>
    <row r="11" customFormat="false" ht="15" hidden="false" customHeight="false" outlineLevel="0" collapsed="false">
      <c r="B11" s="19" t="s">
        <v>189</v>
      </c>
      <c r="C11" s="50" t="b">
        <f aca="false">Inputs!$C$38&lt;=Inputs!$C$13</f>
        <v>1</v>
      </c>
    </row>
    <row r="12" customFormat="false" ht="15" hidden="false" customHeight="false" outlineLevel="0" collapsed="false">
      <c r="B12" s="19" t="s">
        <v>190</v>
      </c>
      <c r="C12" s="50" t="b">
        <f aca="false">AND(Forecast!E9&gt;=Forecast!D9,Forecast!F9&gt;=Forecast!E9,Forecast!G9&gt;=Forecast!F9,Forecast!H9&gt;=Forecast!G9)</f>
        <v>1</v>
      </c>
    </row>
    <row r="13" customFormat="false" ht="15" hidden="false" customHeight="false" outlineLevel="0" collapsed="false">
      <c r="B13" s="19" t="s">
        <v>191</v>
      </c>
      <c r="C13" s="50" t="b">
        <f aca="false">ABS('Excess Return'!$C$27)&lt;0.001</f>
        <v>1</v>
      </c>
    </row>
    <row r="14" customFormat="false" ht="15" hidden="false" customHeight="false" outlineLevel="0" collapsed="false">
      <c r="B14" s="19" t="s">
        <v>192</v>
      </c>
      <c r="C14" s="50" t="b">
        <f aca="false">ABS(DDM!$C$14-'Justified Multiples'!$C$6)&lt;0.1</f>
        <v>1</v>
      </c>
    </row>
    <row r="15" customFormat="false" ht="15" hidden="false" customHeight="false" outlineLevel="0" collapsed="false">
      <c r="B15" s="19" t="s">
        <v>193</v>
      </c>
      <c r="C15" s="50" t="b">
        <f aca="false">ABS(Sensitivity!E8-DDM!$C$20)&lt;0.01</f>
        <v>1</v>
      </c>
    </row>
    <row r="16" customFormat="false" ht="15" hidden="false" customHeight="false" outlineLevel="0" collapsed="false">
      <c r="B16" s="19" t="s">
        <v>194</v>
      </c>
      <c r="C16" s="50" t="b">
        <f aca="false">ABS(Inputs!$C$24-Inputs!$C$21/Inputs!$C$7)&lt;0.001</f>
        <v>1</v>
      </c>
    </row>
    <row r="17" customFormat="false" ht="15" hidden="false" customHeight="false" outlineLevel="0" collapsed="false">
      <c r="B17" s="19" t="s">
        <v>195</v>
      </c>
      <c r="C17" s="50" t="b">
        <f aca="false">ABS(('Justified Multiples'!$C$11-Inputs!$C$37)/(Inputs!$C$34-Inputs!$C$37)-Inputs!$C$24)&lt;0.0001</f>
        <v>1</v>
      </c>
    </row>
    <row r="18" customFormat="false" ht="15" hidden="false" customHeight="false" outlineLevel="0" collapsed="false">
      <c r="B18" s="19" t="s">
        <v>196</v>
      </c>
      <c r="C18" s="50" t="b">
        <f aca="false">AND(Inputs!$C$19&gt;=24-0.5,Inputs!$C$19&lt;=37.4+0.5)</f>
        <v>1</v>
      </c>
    </row>
    <row r="20" customFormat="false" ht="15" hidden="false" customHeight="false" outlineLevel="0" collapsed="false">
      <c r="B20" s="51" t="s">
        <v>197</v>
      </c>
      <c r="C20" s="52" t="str">
        <f aca="false">IF(COUNTIF(C5:C18,FALSE())=0,"MODEL OK","CHECK FAILED")</f>
        <v>MODEL OK</v>
      </c>
    </row>
    <row r="22" customFormat="false" ht="33.75" hidden="false" customHeight="true" outlineLevel="0" collapsed="false">
      <c r="B22" s="18" t="s">
        <v>198</v>
      </c>
      <c r="C22" s="18"/>
      <c r="D22" s="18"/>
      <c r="E22" s="18"/>
    </row>
  </sheetData>
  <mergeCells count="1">
    <mergeCell ref="B22:E2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&amp;L&amp;"Arial,Bold"&amp;8Emirates NBD — Bank Valuation — Dividend Discount and Excess Return&amp;R&amp;"Arial,Regular"&amp;8Checks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2026-09-18T08:01:20Z</dcterms:created>
  <dc:creator>openpyxl</dc:creator>
  <dc:description/>
  <dc:language>en-US</dc:language>
  <cp:lastModifiedBy/>
  <dcterms:modified xsi:type="dcterms:W3CDTF">2026-09-18T08:01:20Z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