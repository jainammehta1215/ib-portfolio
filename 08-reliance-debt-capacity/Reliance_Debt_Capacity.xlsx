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Credit Profile" sheetId="3" state="visible" r:id="rId5"/>
    <sheet name="Debt Capacity" sheetId="4" state="visible" r:id="rId6"/>
    <sheet name="Optimal Structure" sheetId="5" state="visible" r:id="rId7"/>
    <sheet name="Liquidity" sheetId="6" state="visible" r:id="rId8"/>
    <sheet name="Sensitivity" sheetId="7" state="visible" r:id="rId9"/>
    <sheet name="Summary" sheetId="8" state="visible" r:id="rId10"/>
    <sheet name="Checks" sheetId="9" state="visible" r:id="rId11"/>
  </sheets>
  <definedNames>
    <definedName function="false" hidden="false" localSheetId="8" name="_xlnm.Print_Area" vbProcedure="false">Checks!$A$1:$E$23</definedName>
    <definedName function="false" hidden="false" localSheetId="0" name="_xlnm.Print_Area" vbProcedure="false">Cover!$A$1:$F$45</definedName>
    <definedName function="false" hidden="false" localSheetId="2" name="_xlnm.Print_Area" vbProcedure="false">'Credit Profile'!$A$1:$F$37</definedName>
    <definedName function="false" hidden="false" localSheetId="3" name="_xlnm.Print_Area" vbProcedure="false">'Debt Capacity'!$A$1:$H$26</definedName>
    <definedName function="false" hidden="false" localSheetId="1" name="_xlnm.Print_Area" vbProcedure="false">Inputs!$A$1:$F$48</definedName>
    <definedName function="false" hidden="false" localSheetId="5" name="_xlnm.Print_Area" vbProcedure="false">Liquidity!$A$1:$F$24</definedName>
    <definedName function="false" hidden="false" localSheetId="4" name="_xlnm.Print_Area" vbProcedure="false">'Optimal Structure'!$A$1:$H$29</definedName>
    <definedName function="false" hidden="false" localSheetId="6" name="_xlnm.Print_Area" vbProcedure="false">Sensitivity!$A$1:$H$18</definedName>
    <definedName function="false" hidden="false" localSheetId="7" name="_xlnm.Print_Area" vbProcedure="false">Summary!$A$1:$F$27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<sst xmlns="http://schemas.openxmlformats.org/spreadsheetml/2006/main" count="276" uniqueCount="249">
  <si>
    <t xml:space="preserve">IB PORTFOLIO · PROJECT 08 OF 20</t>
  </si>
  <si>
    <t xml:space="preserve">Reliance Industries</t>
  </si>
  <si>
    <t xml:space="preserve">Debt Capacity and Capital Structure</t>
  </si>
  <si>
    <t xml:space="preserve">NSE: RELIANCE   ·   ₹ crore unless stated   ·   as of FY2026 audited results · market data 18 Sep 2026</t>
  </si>
  <si>
    <t xml:space="preserve">What this is</t>
  </si>
  <si>
    <t xml:space="preserve">A debt-capacity and capital-structure study of Reliance Industries built on the audited FY2026 consolidated results (year to 31 March 2026) and 18 September 2026 market data. It restates the balance sheet the way a rating agency would, sizes borrowing capacity at each rating category, finds where the cost of capital bottoms out, and tests twelve-month liquidity.</t>
  </si>
  <si>
    <t xml:space="preserve">How it is built</t>
  </si>
  <si>
    <t xml:space="preserve">•  Adjusted net debt adds lease liabilities and the deferred spectrum instalments to the company's own net debt; adjusted EBITDA removes the disposal gain disclosed in the results.</t>
  </si>
  <si>
    <t xml:space="preserve">•  Debt capacity at each rating is the minimum of three constraints — leverage, cash interest cover and FFO-to-debt — against a stated threshold grid, with the binding constraint named.</t>
  </si>
  <si>
    <t xml:space="preserve">•  An optimal-structure grid unlevers the observed beta, re-levers it at each debt weight, looks up the implied rating and cost of debt from the same grid, and reports WACC.</t>
  </si>
  <si>
    <t xml:space="preserve">•  A twelve-month sources-and-uses test, and two live sensitivity grids that rebuild every constraint in each cell.</t>
  </si>
  <si>
    <t xml:space="preserve">Contents</t>
  </si>
  <si>
    <t xml:space="preserve">Summary  —  leverage as reported and restated, capacity, the WACC minimum and liquidity</t>
  </si>
  <si>
    <t xml:space="preserve">Credit Profile  —  three definitions of net debt, cover, FFO, capitalisation, implied rating</t>
  </si>
  <si>
    <t xml:space="preserve">Debt Capacity  —  capacity by constraint and rating, headroom, what it would fund</t>
  </si>
  <si>
    <t xml:space="preserve">Optimal Structure  —  WACC across leverage with rating-linked cost of debt</t>
  </si>
  <si>
    <t xml:space="preserve">Liquidity  —  twelve-month sources and uses</t>
  </si>
  <si>
    <t xml:space="preserve">Sensitivity  —  headroom and WACC grids</t>
  </si>
  <si>
    <t xml:space="preserve">Inputs  —  audited FY2026 figures, market data, rating thresholds, cost-of-capital inputs</t>
  </si>
  <si>
    <t xml:space="preserve">Checks  —  fifteen tests; must read MODEL OK</t>
  </si>
  <si>
    <t xml:space="preserve">Key outputs (live)</t>
  </si>
  <si>
    <t xml:space="preserve">Adjusted net debt / EBITDA</t>
  </si>
  <si>
    <t xml:space="preserve">EBITDA / cash interest</t>
  </si>
  <si>
    <t xml:space="preserve">Incremental capacity at A (₹ crore)</t>
  </si>
  <si>
    <t xml:space="preserve">WACC today</t>
  </si>
  <si>
    <t xml:space="preserve">Minimum WACC</t>
  </si>
  <si>
    <t xml:space="preserve">Twelve-month sources / uses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</si>
  <si>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</si>
  <si>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</si>
  <si>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</si>
  <si>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</si>
  <si>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</si>
  <si>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</si>
  <si>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Reliance Industries Limited, audited consolidated financial results and media release for the quarter and year ended 31 March 2026, dated 24 April 2026 (ril.com). Segment, balance sheet and cash flow figures as published.</t>
  </si>
  <si>
    <t xml:space="preserve">Share price: NSE close, 18 September 2026. Ratings: S&amp;P Global A- and Moody's Baa1 as disclosed by the company.</t>
  </si>
  <si>
    <t xml:space="preserve">Risk-free rate, equity risk premium, beta, rating thresholds and credit spreads are stated inputs on the Inputs sheet.</t>
  </si>
  <si>
    <t xml:space="preserve">Nothing here is a recommendation. The study is an analytical exercise on public information.</t>
  </si>
  <si>
    <t xml:space="preserve">Prepared by</t>
  </si>
  <si>
    <t xml:space="preserve">Jainam Mehta · github.com/jainammehta1215/ib-portfolio</t>
  </si>
  <si>
    <t xml:space="preserve">Reliance Industries — Debt Capacity and Capital Structure</t>
  </si>
  <si>
    <t xml:space="preserve">RELIANCE INDUSTRIES</t>
  </si>
  <si>
    <t xml:space="preserve">Audited FY2026 figures, market data, rating framework and cost-of-capital inputs</t>
  </si>
  <si>
    <t xml:space="preserve">REPORTED FY2026 (₹ crore)</t>
  </si>
  <si>
    <t xml:space="preserve">Revenue (value of sales and services)</t>
  </si>
  <si>
    <t xml:space="preserve">EBITDA, as reported</t>
  </si>
  <si>
    <t xml:space="preserve">  of which: profit on sale of listed investments (one-off)</t>
  </si>
  <si>
    <t xml:space="preserve">Disclosed in note 5 of the results. Removed below because a lender does not lend against a disposal gain</t>
  </si>
  <si>
    <t xml:space="preserve">EBITDA, adjusted</t>
  </si>
  <si>
    <t xml:space="preserve">Depreciation, amortisation and depletion</t>
  </si>
  <si>
    <t xml:space="preserve">EBIT, adjusted</t>
  </si>
  <si>
    <t xml:space="preserve">Finance costs (P&amp;L)</t>
  </si>
  <si>
    <t xml:space="preserve">Interest paid (cash flow statement)</t>
  </si>
  <si>
    <t xml:space="preserve">Higher than the P&amp;L charge because interest on projects under construction is capitalised. Cash cover uses this figure</t>
  </si>
  <si>
    <t xml:space="preserve">Profit before tax</t>
  </si>
  <si>
    <t xml:space="preserve">Tax expense</t>
  </si>
  <si>
    <t xml:space="preserve">Effective tax rate</t>
  </si>
  <si>
    <t xml:space="preserve">Net cash from operating activities</t>
  </si>
  <si>
    <t xml:space="preserve">Capital expenditure (company definition, ex-spectrum)</t>
  </si>
  <si>
    <t xml:space="preserve">Dividends paid to equity holders</t>
  </si>
  <si>
    <t xml:space="preserve">BALANCE SHEET AT 31 MARCH 2026 (₹ crore)</t>
  </si>
  <si>
    <t xml:space="preserve">Outstanding debt (company definition)</t>
  </si>
  <si>
    <t xml:space="preserve">Cash and cash equivalents (company definition, incl. liquid investments)</t>
  </si>
  <si>
    <t xml:space="preserve">Lease liabilities (current and non-current)</t>
  </si>
  <si>
    <t xml:space="preserve">Deferred payment liabilities (spectrum instalments to DoT)</t>
  </si>
  <si>
    <t xml:space="preserve">Interest-bearing instalments owed to the government for spectrum. Agencies treat them as debt; the company's net debt figure excludes them</t>
  </si>
  <si>
    <t xml:space="preserve">Equity attributable to owners</t>
  </si>
  <si>
    <t xml:space="preserve">Non-controlling interests</t>
  </si>
  <si>
    <t xml:space="preserve">Borrowings due within twelve months</t>
  </si>
  <si>
    <t xml:space="preserve">MARKET DATA</t>
  </si>
  <si>
    <t xml:space="preserve">Share price (₹, NSE close 18 Sep 2026)</t>
  </si>
  <si>
    <t xml:space="preserve">Shares outstanding (crore)</t>
  </si>
  <si>
    <t xml:space="preserve">Market capitalisation</t>
  </si>
  <si>
    <t xml:space="preserve">Dividend per share, FY2026 (₹)</t>
  </si>
  <si>
    <t xml:space="preserve">COST OF CAPITAL</t>
  </si>
  <si>
    <t xml:space="preserve">Risk-free rate (10-year Government of India, INR)</t>
  </si>
  <si>
    <t xml:space="preserve">Benchmark G-sec yield, September 2026</t>
  </si>
  <si>
    <t xml:space="preserve">Equity risk premium, India</t>
  </si>
  <si>
    <t xml:space="preserve">Mature-market premium plus country risk, per Damodaran's country tables</t>
  </si>
  <si>
    <t xml:space="preserve">Observed levered beta versus NIFTY 50</t>
  </si>
  <si>
    <t xml:space="preserve">Five-year monthly. Regressed in Project 5's method; taken as an input here</t>
  </si>
  <si>
    <t xml:space="preserve">Marginal tax rate (tax shield on interest)</t>
  </si>
  <si>
    <t xml:space="preserve">Section 115BAA concessional rate with surcharge and cess</t>
  </si>
  <si>
    <t xml:space="preserve">RATING FRAMEWORK — stated inputs</t>
  </si>
  <si>
    <t xml:space="preserve">Thresholds are illustrative levels adapted from published agency methodologies for large diversified industrials. Real committees also weigh business risk, diversification, liquidity and sovereign ceilings; Reliance is rated A- (S&amp;P) and Baa1 (Moody's), two notches above India's sovereign, precisely because of those qualitative factors.</t>
  </si>
  <si>
    <t xml:space="preserve">Rating category</t>
  </si>
  <si>
    <t xml:space="preserve">AA</t>
  </si>
  <si>
    <t xml:space="preserve">A</t>
  </si>
  <si>
    <t xml:space="preserve">BBB</t>
  </si>
  <si>
    <t xml:space="preserve">BB</t>
  </si>
  <si>
    <t xml:space="preserve">B</t>
  </si>
  <si>
    <t xml:space="preserve">Maximum net debt / EBITDA</t>
  </si>
  <si>
    <t xml:space="preserve">Minimum EBITDA / cash interest</t>
  </si>
  <si>
    <t xml:space="preserve">Minimum FFO / net debt</t>
  </si>
  <si>
    <t xml:space="preserve">Credit spread over the risk-free rate</t>
  </si>
  <si>
    <t xml:space="preserve">Pre-tax cost of debt</t>
  </si>
  <si>
    <t xml:space="preserve">The balance sheet as reported, and as a rating agency would restate it</t>
  </si>
  <si>
    <t xml:space="preserve">NET DEBT — THREE DEFINITIONS</t>
  </si>
  <si>
    <t xml:space="preserve">Net debt, company definition (debt less cash)</t>
  </si>
  <si>
    <t xml:space="preserve">The 0.6x figure in the results release</t>
  </si>
  <si>
    <t xml:space="preserve">Add: lease liabilities</t>
  </si>
  <si>
    <t xml:space="preserve">Add: deferred spectrum liabilities</t>
  </si>
  <si>
    <t xml:space="preserve">Adjusted net debt (agency basis)</t>
  </si>
  <si>
    <t xml:space="preserve">Adjusted gross debt</t>
  </si>
  <si>
    <t xml:space="preserve">LEVERAGE AND COVER</t>
  </si>
  <si>
    <t xml:space="preserve">Net debt / EBITDA — company basis, reported EBITDA</t>
  </si>
  <si>
    <t xml:space="preserve">Adjusted net debt / adjusted EBITDA</t>
  </si>
  <si>
    <t xml:space="preserve">Roughly double the headline. This is the number to defend to a lender</t>
  </si>
  <si>
    <t xml:space="preserve">Adjusted gross debt / adjusted EBITDA</t>
  </si>
  <si>
    <t xml:space="preserve">EBITDA / finance costs (P&amp;L)</t>
  </si>
  <si>
    <t xml:space="preserve">EBITDA / cash interest paid</t>
  </si>
  <si>
    <t xml:space="preserve">Uses interest actually paid, including the capitalised portion</t>
  </si>
  <si>
    <t xml:space="preserve">EBIT / finance costs</t>
  </si>
  <si>
    <t xml:space="preserve">CASH FLOW MEASURES</t>
  </si>
  <si>
    <t xml:space="preserve">Funds from operations (EBITDA − cash interest − cash tax)</t>
  </si>
  <si>
    <t xml:space="preserve">Tax expense is used as a proxy for cash tax; the cash flow statement shows taxes paid materially lower because of deferred tax</t>
  </si>
  <si>
    <t xml:space="preserve">FFO / adjusted net debt</t>
  </si>
  <si>
    <t xml:space="preserve">Free cash flow (CFO − capex)</t>
  </si>
  <si>
    <t xml:space="preserve">Free cash flow after dividends</t>
  </si>
  <si>
    <t xml:space="preserve">Capex / adjusted EBITDA</t>
  </si>
  <si>
    <t xml:space="preserve">Nearly three-quarters of EBITDA is reinvested. Debt capacity is only useful if capex can be paused; here it largely cannot</t>
  </si>
  <si>
    <t xml:space="preserve">Years to repay adjusted net debt from free cash flow after dividends</t>
  </si>
  <si>
    <t xml:space="preserve">CAPITALISATION</t>
  </si>
  <si>
    <t xml:space="preserve">Adjusted gross debt / (debt + book equity)</t>
  </si>
  <si>
    <t xml:space="preserve">Adjusted net debt / (net debt + market capitalisation)</t>
  </si>
  <si>
    <t xml:space="preserve">Market-value leverage. This is the weight used in the WACC work</t>
  </si>
  <si>
    <t xml:space="preserve">Enterprise value (market cap + adjusted net debt + NCI at book)</t>
  </si>
  <si>
    <t xml:space="preserve">EV / adjusted EBITDA</t>
  </si>
  <si>
    <t xml:space="preserve">IMPLIED RATING FROM THE GRID</t>
  </si>
  <si>
    <t xml:space="preserve">Implied by leverage</t>
  </si>
  <si>
    <t xml:space="preserve">Implied by cash interest cover</t>
  </si>
  <si>
    <t xml:space="preserve">Implied by FFO / net debt</t>
  </si>
  <si>
    <t xml:space="preserve">Leverage and FFO both say A. Cash interest cover, measured on interest actually paid, says BB — and the gap is the interest capitalised on nearly ₹2 lakh crore of projects under construction, which the P&amp;L never shows. The published A- / Baa1 sits between the two readings, which is what a committee does when the metrics are strong but the capex programme is heavy and the sovereign ceiling is BBB-. The grid is a screen, not a committee.</t>
  </si>
  <si>
    <t xml:space="preserve">Maximum adjusted net debt at each rating — the tightest of three constraints wins</t>
  </si>
  <si>
    <t xml:space="preserve">CAPACITY BY CONSTRAINT (₹ crore)</t>
  </si>
  <si>
    <t xml:space="preserve">From leverage: EBITDA × maximum net debt / EBITDA</t>
  </si>
  <si>
    <t xml:space="preserve">From cover: EBITDA / (minimum cover × cost of debt) − cash-free</t>
  </si>
  <si>
    <t xml:space="preserve">From FFO: FFO / minimum FFO-to-debt</t>
  </si>
  <si>
    <t xml:space="preserve">Debt capacity — binding constraint</t>
  </si>
  <si>
    <t xml:space="preserve">Which constraint binds</t>
  </si>
  <si>
    <t xml:space="preserve">HEADROOM AGAINST TODAY'S ADJUSTED NET DEBT</t>
  </si>
  <si>
    <t xml:space="preserve">Adjusted net debt today</t>
  </si>
  <si>
    <t xml:space="preserve">Incremental borrowing capacity</t>
  </si>
  <si>
    <t xml:space="preserve">  in US$ billion at ₹83.5 / US$</t>
  </si>
  <si>
    <t xml:space="preserve">  as % of market capitalisation</t>
  </si>
  <si>
    <t xml:space="preserve">Pro forma net debt / EBITDA if fully drawn</t>
  </si>
  <si>
    <t xml:space="preserve">Pro forma EBITDA / interest if fully drawn</t>
  </si>
  <si>
    <t xml:space="preserve">The cover constraint assumes the whole debt stack reprices to the category's cost of debt, which overstates interest for a company whose existing borrowings were raised at lower rates. That makes the capacity numbers conservative, which is the right direction for a capacity study. Capacity from FFO ignores the feedback of new interest on FFO; the effect is second-order at these leverage levels.</t>
  </si>
  <si>
    <t xml:space="preserve">WHAT THE HEADROOM WOULD FUND — at the A category</t>
  </si>
  <si>
    <t xml:space="preserve">Incremental capacity at A</t>
  </si>
  <si>
    <t xml:space="preserve">Years of FY2026 capex it would fund on its own</t>
  </si>
  <si>
    <t xml:space="preserve">Years of FY2026 free cash flow it represents</t>
  </si>
  <si>
    <t xml:space="preserve">Share of market cap it could retire in a levered recapitalisation</t>
  </si>
  <si>
    <t xml:space="preserve">Weighted average cost of capital across leverage — the minimum is the optimum</t>
  </si>
  <si>
    <t xml:space="preserve">UNLEVERED COST OF EQUITY</t>
  </si>
  <si>
    <t xml:space="preserve">Market-value debt / (debt + equity) today</t>
  </si>
  <si>
    <t xml:space="preserve">Debt / equity today</t>
  </si>
  <si>
    <t xml:space="preserve">Unlevered beta (Hamada)</t>
  </si>
  <si>
    <t xml:space="preserve">Observed beta stripped of today's leverage, then re-levered at each candidate structure</t>
  </si>
  <si>
    <t xml:space="preserve">Cost of equity today</t>
  </si>
  <si>
    <t xml:space="preserve">Pre-tax cost of debt today (A category)</t>
  </si>
  <si>
    <t xml:space="preserve">WACC ACROSS CANDIDATE STRUCTURES</t>
  </si>
  <si>
    <t xml:space="preserve">Debt / (debt + equity) at market value</t>
  </si>
  <si>
    <t xml:space="preserve">0%</t>
  </si>
  <si>
    <t xml:space="preserve">10%</t>
  </si>
  <si>
    <t xml:space="preserve">20%</t>
  </si>
  <si>
    <t xml:space="preserve">30%</t>
  </si>
  <si>
    <t xml:space="preserve">40%</t>
  </si>
  <si>
    <t xml:space="preserve">50%</t>
  </si>
  <si>
    <t xml:space="preserve">Debt / (debt + equity)</t>
  </si>
  <si>
    <t xml:space="preserve">Debt / equity</t>
  </si>
  <si>
    <t xml:space="preserve">Implied net debt (holding firm value constant)</t>
  </si>
  <si>
    <t xml:space="preserve">Implied net debt / EBITDA</t>
  </si>
  <si>
    <t xml:space="preserve">Implied rating from the leverage grid</t>
  </si>
  <si>
    <t xml:space="preserve">Pre-tax cost of debt at that rating</t>
  </si>
  <si>
    <t xml:space="preserve">Implied EBITDA / interest</t>
  </si>
  <si>
    <t xml:space="preserve">Re-levered beta</t>
  </si>
  <si>
    <t xml:space="preserve">Cost of equity</t>
  </si>
  <si>
    <t xml:space="preserve">WACC</t>
  </si>
  <si>
    <t xml:space="preserve">Minimum WACC in the grid</t>
  </si>
  <si>
    <t xml:space="preserve">Debt weight at the minimum</t>
  </si>
  <si>
    <t xml:space="preserve">WACC saving versus today (basis points)</t>
  </si>
  <si>
    <t xml:space="preserve">Illustrative firm-value gain: FY2026 FCF grown at 4%, capitalised at old and new WACC</t>
  </si>
  <si>
    <t xml:space="preserve">A perpetuity on one year's free cash flow. Indicative of order of magnitude only</t>
  </si>
  <si>
    <t xml:space="preserve">The curve is flat between roughly 10% and 30% debt: the tax shield and the rising cost of equity nearly offset, and the drop to BBB at 20% costs 140 basis points of spread that the shield mostly absorbs. The optimum is therefore a range, not a point, and the company already sits inside it at about 13%. Beyond 30% the grid implies BB, the spread jumps again, and WACC rises faster than the shield can compensate.</t>
  </si>
  <si>
    <t xml:space="preserve">Twelve-month sources and uses — can the company fund itself without the market?</t>
  </si>
  <si>
    <t xml:space="preserve">SOURCES OVER THE NEXT TWELVE MONTHS</t>
  </si>
  <si>
    <t xml:space="preserve">Cash and cash equivalents at 31 March 2026</t>
  </si>
  <si>
    <t xml:space="preserve">Assumed growth in operating cash flow</t>
  </si>
  <si>
    <t xml:space="preserve">Below FY2026 EBITDA growth of 13%, which was flattered by cracks and the disposal gain</t>
  </si>
  <si>
    <t xml:space="preserve">Operating cash flow, FY2027E</t>
  </si>
  <si>
    <t xml:space="preserve">Total sources</t>
  </si>
  <si>
    <t xml:space="preserve">USES OVER THE NEXT TWELVE MONTHS</t>
  </si>
  <si>
    <t xml:space="preserve">Includes commercial paper and working-capital lines that are rolled in the ordinary course</t>
  </si>
  <si>
    <t xml:space="preserve">Assumed capex, FY2027E, as % of FY2026</t>
  </si>
  <si>
    <t xml:space="preserve">New Energy giga-factories and O2C projects keep the programme flat</t>
  </si>
  <si>
    <t xml:space="preserve">Capital expenditure, FY2027E</t>
  </si>
  <si>
    <t xml:space="preserve">Cash interest</t>
  </si>
  <si>
    <t xml:space="preserve">Dividend at ₹6 per share</t>
  </si>
  <si>
    <t xml:space="preserve">Spectrum instalment (assumed at FY2026 level)</t>
  </si>
  <si>
    <t xml:space="preserve">FY2026 payment of deferred liabilities from the cash flow statement</t>
  </si>
  <si>
    <t xml:space="preserve">Total uses</t>
  </si>
  <si>
    <t xml:space="preserve">Sources / uses</t>
  </si>
  <si>
    <t xml:space="preserve">Sources / uses excluding rollover of short-term borrowings</t>
  </si>
  <si>
    <t xml:space="preserve">Surplus / (shortfall) after all uses</t>
  </si>
  <si>
    <t xml:space="preserve">Minimum operating cash assumed</t>
  </si>
  <si>
    <t xml:space="preserve">Cash room after minimum balance</t>
  </si>
  <si>
    <t xml:space="preserve">The company can meet every use for the year from cash on hand and one year's operating cash flow without raising a rupee, and can do so even if every short-term line is repaid rather than rolled. That is what an A-category liquidity profile looks like, and it is the qualitative factor that lets the rating sit above the sovereign.</t>
  </si>
  <si>
    <t xml:space="preserve">Incremental capacity at the A category (₹ crore) — every cell rebuilds all three constraints</t>
  </si>
  <si>
    <t xml:space="preserve">HEADROOM — EBITDA CHANGE versus LEVERAGE THRESHOLD AT A (cover and FFO thresholds held)</t>
  </si>
  <si>
    <t xml:space="preserve">Max ND/EBITDA at A  \  Change in EBITDA</t>
  </si>
  <si>
    <t xml:space="preserve">WACC — EQUITY RISK PREMIUM versus DEBT WEIGHT (rating and cost of debt from the grid)</t>
  </si>
  <si>
    <t xml:space="preserve">Debt weight  \  Equity risk premium</t>
  </si>
  <si>
    <t xml:space="preserve">Debt capacity on one page</t>
  </si>
  <si>
    <t xml:space="preserve">WHERE THE BALANCE SHEET STANDS</t>
  </si>
  <si>
    <t xml:space="preserve">Net debt / EBITDA — headline</t>
  </si>
  <si>
    <t xml:space="preserve">Adjusted net debt / adjusted EBITDA — agency basis</t>
  </si>
  <si>
    <t xml:space="preserve">Free cash flow after dividends (₹ crore)</t>
  </si>
  <si>
    <t xml:space="preserve">Published ratings</t>
  </si>
  <si>
    <t xml:space="preserve">A- (S&amp;P) · Baa1 (Moody's) · two notches above the sovereign</t>
  </si>
  <si>
    <t xml:space="preserve">HOW MUCH MORE IT COULD BORROW</t>
  </si>
  <si>
    <t xml:space="preserve">Incremental capacity holding an A-category profile (₹ crore)</t>
  </si>
  <si>
    <t xml:space="preserve">  in US$ billion</t>
  </si>
  <si>
    <t xml:space="preserve">  binding constraint at A</t>
  </si>
  <si>
    <t xml:space="preserve">Incremental capacity if the company accepted BBB (₹ crore)</t>
  </si>
  <si>
    <t xml:space="preserve">WHERE THE COST OF CAPITAL BOTTOMS OUT</t>
  </si>
  <si>
    <t xml:space="preserve">Minimum WACC across the leverage grid</t>
  </si>
  <si>
    <t xml:space="preserve">•  The headline 0.6x understates leverage by about half. Add the leases and the spectrum instalments owed to the government and the ratio is close to 1.25x, which is still comfortably A-category but is the honest starting point.</t>
  </si>
  <si>
    <t xml:space="preserve">•  Capacity is real but committed. At an A profile the company could add over ₹1.5 lakh crore of net debt, yet FY2026 capex was ₹1.44 lakh crore and free cash flow after dividends was thin. The capacity exists to protect the investment programme through a downturn, not to fund a recapitalisation.</t>
  </si>
  <si>
    <t xml:space="preserve">•  There is no WACC case for more debt. The curve is flat from 10% to 30% debt and the company is already at the cheap end of it. Leverage beyond the A category costs more in spread than the tax shield returns.</t>
  </si>
  <si>
    <t xml:space="preserve">•  Liquidity is the story. Cash on hand plus one year's operating cash flow covers every use for the next twelve months with room to spare. That, more than any ratio, is why the rating sits above India's sovereign.</t>
  </si>
  <si>
    <t xml:space="preserve">Every check must read TRUE</t>
  </si>
  <si>
    <t xml:space="preserve">INTEGRITY CHECKS</t>
  </si>
  <si>
    <t xml:space="preserve">Company net debt reconciles to the published figure of ₹124,717 crore</t>
  </si>
  <si>
    <t xml:space="preserve">Adjusted EBITDA equals reported less the disposal gain</t>
  </si>
  <si>
    <t xml:space="preserve">Adjusted net debt exceeds company net debt</t>
  </si>
  <si>
    <t xml:space="preserve">Headline leverage reconciles to the published 0.6x within rounding</t>
  </si>
  <si>
    <t xml:space="preserve">Capacity at each rating is the minimum of its three constraints</t>
  </si>
  <si>
    <t xml:space="preserve">Capacity rises monotonically as the rating weakens</t>
  </si>
  <si>
    <t xml:space="preserve">Cost of debt rises monotonically as the rating weakens</t>
  </si>
  <si>
    <t xml:space="preserve">Headroom at A is positive</t>
  </si>
  <si>
    <t xml:space="preserve">Unlevered beta is below the observed levered beta</t>
  </si>
  <si>
    <t xml:space="preserve">WACC at zero debt equals the unlevered cost of equity</t>
  </si>
  <si>
    <t xml:space="preserve">Minimum WACC is not above today's WACC</t>
  </si>
  <si>
    <t xml:space="preserve">Base-case sensitivity cell reconciles to the Debt Capacity sheet</t>
  </si>
  <si>
    <t xml:space="preserve">Sources cover uses over twelve months</t>
  </si>
  <si>
    <t xml:space="preserve">Effective tax rate is between 15% and 35%</t>
  </si>
  <si>
    <t xml:space="preserve">Market capitalisation reconciles to price times shares</t>
  </si>
  <si>
    <t xml:space="preserve">MODEL STATUS</t>
  </si>
  <si>
    <t xml:space="preserve">The reconciliation to the published net debt and leverage figures is the check that matters most: it proves the model starts from the company's own numbers before it restates them.</t>
  </si>
</sst>
</file>

<file path=xl/styles.xml><?xml version="1.0" encoding="utf-8"?>
<styleSheet xmlns="http://schemas.openxmlformats.org/spreadsheetml/2006/main">
  <numFmts count="10">
    <numFmt numFmtId="164" formatCode="General"/>
    <numFmt numFmtId="165" formatCode="0.0\x"/>
    <numFmt numFmtId="166" formatCode="#,##0;\(#,##0\);\-"/>
    <numFmt numFmtId="167" formatCode="0.00%"/>
    <numFmt numFmtId="168" formatCode="0.0%;\(0.0%\);\-"/>
    <numFmt numFmtId="169" formatCode="#,##0.00;\(#,##0.00\);\-"/>
    <numFmt numFmtId="170" formatCode="#,##0.0;\(#,##0.0\);\-"/>
    <numFmt numFmtId="171" formatCode="@"/>
    <numFmt numFmtId="172" formatCode="\+0%;\-0%;0%"/>
    <numFmt numFmtId="173"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E4002B"/>
      <name val="Arial"/>
      <family val="0"/>
      <charset val="1"/>
    </font>
    <font>
      <b val="true"/>
      <sz val="24"/>
      <color rgb="FF0A2E8A"/>
      <name val="Arial"/>
      <family val="0"/>
      <charset val="1"/>
    </font>
    <font>
      <sz val="15"/>
      <color rgb="FF5A6A8A"/>
      <name val="Arial"/>
      <family val="0"/>
      <charset val="1"/>
    </font>
    <font>
      <i val="true"/>
      <sz val="9"/>
      <color rgb="FF7F7F7F"/>
      <name val="Arial"/>
      <family val="0"/>
      <charset val="1"/>
    </font>
    <font>
      <b val="true"/>
      <sz val="10"/>
      <color rgb="FF0A2E8A"/>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A2E8A"/>
      <name val="Arial"/>
      <family val="0"/>
      <charset val="1"/>
    </font>
    <font>
      <b val="true"/>
      <sz val="12"/>
      <name val="Arial"/>
      <family val="0"/>
      <charset val="1"/>
    </font>
  </fonts>
  <fills count="6">
    <fill>
      <patternFill patternType="none"/>
    </fill>
    <fill>
      <patternFill patternType="gray125"/>
    </fill>
    <fill>
      <patternFill patternType="solid">
        <fgColor rgb="FF0A2E8A"/>
        <bgColor rgb="FF333399"/>
      </patternFill>
    </fill>
    <fill>
      <patternFill patternType="solid">
        <fgColor rgb="FFE4002B"/>
        <bgColor rgb="FF800000"/>
      </patternFill>
    </fill>
    <fill>
      <patternFill patternType="solid">
        <fgColor rgb="FFEDF1FA"/>
        <bgColor rgb="FFFFFFFF"/>
      </patternFill>
    </fill>
    <fill>
      <patternFill patternType="solid">
        <fgColor rgb="FF5A6A8A"/>
        <bgColor rgb="FF7F7F7F"/>
      </patternFill>
    </fill>
  </fills>
  <borders count="3">
    <border diagonalUp="false" diagonalDown="false">
      <left/>
      <right/>
      <top/>
      <bottom/>
      <diagonal/>
    </border>
    <border diagonalUp="false" diagonalDown="false">
      <left/>
      <right/>
      <top style="thin"/>
      <bottom style="double"/>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8" fontId="13" fillId="0" borderId="2"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6" fontId="13" fillId="0" borderId="2"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72" fontId="17" fillId="5" borderId="0" xfId="0" applyFont="true" applyBorder="false" applyAlignment="true" applyProtection="false">
      <alignment horizontal="center"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6" fontId="18" fillId="3" borderId="0" xfId="0" applyFont="true" applyBorder="false" applyAlignment="false" applyProtection="false">
      <alignment horizontal="general" vertical="bottom" textRotation="0" wrapText="false" indent="0" shrinkToFit="false"/>
      <protection locked="true" hidden="false"/>
    </xf>
    <xf numFmtId="168" fontId="17" fillId="5" borderId="0" xfId="0" applyFont="true" applyBorder="false" applyAlignment="true" applyProtection="false">
      <alignment horizontal="center"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8" fillId="3"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73"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4002B"/>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DF1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A8A"/>
      <rgbColor rgb="FF969696"/>
      <rgbColor rgb="FF0A2E8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Reliance_Debt_Capacity.xlsx" TargetMode="External"/><Relationship Id="rId2" Type="http://schemas.openxmlformats.org/officeDocument/2006/relationships/hyperlink" Target="Reliance_Debt_Capacity.xlsx" TargetMode="External"/><Relationship Id="rId3" Type="http://schemas.openxmlformats.org/officeDocument/2006/relationships/hyperlink" Target="Reliance_Debt_Capacity.xlsx" TargetMode="External"/><Relationship Id="rId4" Type="http://schemas.openxmlformats.org/officeDocument/2006/relationships/hyperlink" Target="Reliance_Debt_Capacity.xlsx" TargetMode="External"/><Relationship Id="rId5" Type="http://schemas.openxmlformats.org/officeDocument/2006/relationships/hyperlink" Target="Reliance_Debt_Capacity.xlsx" TargetMode="External"/><Relationship Id="rId6" Type="http://schemas.openxmlformats.org/officeDocument/2006/relationships/hyperlink" Target="Reliance_Debt_Capacity.xlsx" TargetMode="External"/><Relationship Id="rId7" Type="http://schemas.openxmlformats.org/officeDocument/2006/relationships/hyperlink" Target="Reliance_Debt_Capacity.xlsx" TargetMode="External"/><Relationship Id="rId8" Type="http://schemas.openxmlformats.org/officeDocument/2006/relationships/hyperlink" Target="Reliance_Debt_Capacity.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30" hidden="false" customHeight="true" outlineLevel="0" collapsed="false">
      <c r="A11" s="1"/>
      <c r="B11" s="7" t="s">
        <v>6</v>
      </c>
      <c r="C11" s="8" t="s">
        <v>7</v>
      </c>
      <c r="D11" s="8"/>
      <c r="E11" s="8"/>
      <c r="F11" s="8"/>
    </row>
    <row r="12" customFormat="false" ht="30"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c r="C23" s="9" t="s">
        <v>19</v>
      </c>
      <c r="D23" s="9"/>
      <c r="E23" s="9"/>
      <c r="F23" s="9"/>
    </row>
    <row r="24" customFormat="false" ht="15" hidden="false" customHeight="false" outlineLevel="0" collapsed="false">
      <c r="A24" s="1"/>
    </row>
    <row r="25" customFormat="false" ht="15" hidden="false" customHeight="false" outlineLevel="0" collapsed="false">
      <c r="A25" s="1"/>
      <c r="B25" s="7" t="s">
        <v>20</v>
      </c>
      <c r="C25" s="10" t="s">
        <v>21</v>
      </c>
      <c r="D25" s="11"/>
      <c r="E25" s="12" t="n">
        <f aca="false">'Credit Profile'!$C$13</f>
        <v>1.24554870418671</v>
      </c>
    </row>
    <row r="26" customFormat="false" ht="15" hidden="false" customHeight="false" outlineLevel="0" collapsed="false">
      <c r="A26" s="1"/>
      <c r="C26" s="10" t="s">
        <v>22</v>
      </c>
      <c r="D26" s="11"/>
      <c r="E26" s="12" t="n">
        <f aca="false">'Credit Profile'!$C$16</f>
        <v>4.97703909356945</v>
      </c>
    </row>
    <row r="27" customFormat="false" ht="15" hidden="false" customHeight="false" outlineLevel="0" collapsed="false">
      <c r="A27" s="1"/>
      <c r="C27" s="10" t="s">
        <v>23</v>
      </c>
      <c r="D27" s="11"/>
      <c r="E27" s="13" t="n">
        <f aca="false">'Debt Capacity'!$D$14</f>
        <v>44272</v>
      </c>
    </row>
    <row r="28" customFormat="false" ht="15" hidden="false" customHeight="false" outlineLevel="0" collapsed="false">
      <c r="A28" s="1"/>
      <c r="C28" s="10" t="s">
        <v>24</v>
      </c>
      <c r="D28" s="11"/>
      <c r="E28" s="14" t="n">
        <f aca="false">'Optimal Structure'!$C$10</f>
        <v>0.128800527111042</v>
      </c>
    </row>
    <row r="29" customFormat="false" ht="15" hidden="false" customHeight="false" outlineLevel="0" collapsed="false">
      <c r="A29" s="1"/>
      <c r="C29" s="10" t="s">
        <v>25</v>
      </c>
      <c r="D29" s="11"/>
      <c r="E29" s="14" t="n">
        <f aca="false">'Optimal Structure'!$C$25</f>
        <v>0.128371529322519</v>
      </c>
    </row>
    <row r="30" customFormat="false" ht="15" hidden="false" customHeight="false" outlineLevel="0" collapsed="false">
      <c r="A30" s="1"/>
      <c r="C30" s="10" t="s">
        <v>26</v>
      </c>
      <c r="D30" s="11"/>
      <c r="E30" s="12" t="n">
        <f aca="false">Liquidity!$C$19</f>
        <v>1.50723967052057</v>
      </c>
    </row>
    <row r="31" customFormat="false" ht="15" hidden="false" customHeight="false" outlineLevel="0" collapsed="false">
      <c r="A31" s="1"/>
    </row>
    <row r="32" customFormat="false" ht="15" hidden="false" customHeight="false" outlineLevel="0" collapsed="false">
      <c r="A32" s="1"/>
      <c r="B32" s="7" t="s">
        <v>27</v>
      </c>
      <c r="C32" s="15" t="s">
        <v>28</v>
      </c>
    </row>
    <row r="33" customFormat="false" ht="15" hidden="false" customHeight="false" outlineLevel="0" collapsed="false">
      <c r="A33" s="1"/>
      <c r="C33" s="16" t="s">
        <v>29</v>
      </c>
    </row>
    <row r="34" customFormat="false" ht="15" hidden="false" customHeight="false" outlineLevel="0" collapsed="false">
      <c r="A34" s="1"/>
      <c r="C34" s="17" t="s">
        <v>30</v>
      </c>
    </row>
    <row r="35" customFormat="false" ht="15" hidden="false" customHeight="false" outlineLevel="0" collapsed="false">
      <c r="A35" s="1"/>
      <c r="C35" s="18" t="s">
        <v>31</v>
      </c>
    </row>
    <row r="36" customFormat="false" ht="15" hidden="false" customHeight="false" outlineLevel="0" collapsed="false">
      <c r="A36" s="1"/>
    </row>
    <row r="37" customFormat="false" ht="42" hidden="false" customHeight="true" outlineLevel="0" collapsed="false">
      <c r="A37" s="1"/>
      <c r="B37" s="7" t="s">
        <v>32</v>
      </c>
      <c r="C37" s="19" t="s">
        <v>33</v>
      </c>
      <c r="D37" s="19"/>
      <c r="E37" s="19"/>
      <c r="F37" s="19"/>
    </row>
    <row r="38" customFormat="false" ht="27.75" hidden="false" customHeight="true" outlineLevel="0" collapsed="false">
      <c r="A38" s="1"/>
      <c r="C38" s="19" t="s">
        <v>34</v>
      </c>
      <c r="D38" s="19"/>
      <c r="E38" s="19"/>
      <c r="F38" s="19"/>
    </row>
    <row r="39" customFormat="false" ht="27.75" hidden="false" customHeight="true" outlineLevel="0" collapsed="false">
      <c r="A39" s="1"/>
      <c r="C39" s="19" t="s">
        <v>35</v>
      </c>
      <c r="D39" s="19"/>
      <c r="E39" s="19"/>
      <c r="F39" s="19"/>
    </row>
    <row r="40" customFormat="false" ht="13.5" hidden="false" customHeight="true" outlineLevel="0" collapsed="false">
      <c r="A40" s="1"/>
      <c r="C40" s="19" t="s">
        <v>36</v>
      </c>
      <c r="D40" s="19"/>
      <c r="E40" s="19"/>
      <c r="F40" s="19"/>
    </row>
    <row r="41" customFormat="false" ht="15" hidden="false" customHeight="false" outlineLevel="0" collapsed="false">
      <c r="A41" s="1"/>
    </row>
    <row r="42" customFormat="false" ht="15" hidden="false" customHeight="false" outlineLevel="0" collapsed="false">
      <c r="A42" s="1"/>
      <c r="B42" s="7" t="s">
        <v>37</v>
      </c>
      <c r="C42" s="20" t="s">
        <v>38</v>
      </c>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7">
    <mergeCell ref="C9:F9"/>
    <mergeCell ref="C11:F11"/>
    <mergeCell ref="C12:F12"/>
    <mergeCell ref="C13:F13"/>
    <mergeCell ref="C14:F14"/>
    <mergeCell ref="C16:F16"/>
    <mergeCell ref="C17:F17"/>
    <mergeCell ref="C18:F18"/>
    <mergeCell ref="C19:F19"/>
    <mergeCell ref="C20:F20"/>
    <mergeCell ref="C21:F21"/>
    <mergeCell ref="C22:F22"/>
    <mergeCell ref="C23:F23"/>
    <mergeCell ref="C37:F37"/>
    <mergeCell ref="C38:F38"/>
    <mergeCell ref="C39:F39"/>
    <mergeCell ref="C40:F40"/>
  </mergeCells>
  <hyperlinks>
    <hyperlink ref="C16" r:id="rId1" location="'Summary'!A1" display="Summary  —  leverage as reported and restated, capacity, the WACC minimum and liquidity"/>
    <hyperlink ref="C17" r:id="rId2" location="'Credit%20Profile'!A1" display="Credit Profile  —  three definitions of net debt, cover, FFO, capitalisation, implied rating"/>
    <hyperlink ref="C18" r:id="rId3" location="'Debt%20Capacity'!A1" display="Debt Capacity  —  capacity by constraint and rating, headroom, what it would fund"/>
    <hyperlink ref="C19" r:id="rId4" location="'Optimal%20Structure'!A1" display="Optimal Structure  —  WACC across leverage with rating-linked cost of debt"/>
    <hyperlink ref="C20" r:id="rId5" location="'Liquidity'!A1" display="Liquidity  —  twelve-month sources and uses"/>
    <hyperlink ref="C21" r:id="rId6" location="'Sensitivity'!A1" display="Sensitivity  —  headroom and WACC grids"/>
    <hyperlink ref="C22" r:id="rId7" location="'Inputs'!A1" display="Inputs  —  audited FY2026 figures, market data, rating thresholds, cost-of-capital inputs"/>
    <hyperlink ref="C23" r:id="rId8" location="'Checks'!A1" display="Checks  —  fif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&amp;L&amp;"Arial,Bold"&amp;8Reliance Industries — Debt Capacity and Capital Structure&amp;R&amp;"Arial,Regular"&amp;8Cover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5" min="3" style="0" width="15"/>
    <col collapsed="false" customWidth="true" hidden="false" outlineLevel="0" max="6" min="6" style="0" width="60"/>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41</v>
      </c>
      <c r="C2" s="1"/>
      <c r="D2" s="1"/>
      <c r="E2" s="1"/>
      <c r="F2" s="1"/>
    </row>
    <row r="4" customFormat="false" ht="15.75" hidden="false" customHeight="true" outlineLevel="0" collapsed="false">
      <c r="B4" s="24" t="s">
        <v>42</v>
      </c>
      <c r="C4" s="1"/>
      <c r="D4" s="1"/>
      <c r="E4" s="1"/>
      <c r="F4" s="1"/>
    </row>
    <row r="5" customFormat="false" ht="15" hidden="false" customHeight="false" outlineLevel="0" collapsed="false">
      <c r="B5" s="20" t="s">
        <v>43</v>
      </c>
      <c r="C5" s="25" t="n">
        <v>1175919</v>
      </c>
    </row>
    <row r="6" customFormat="false" ht="15" hidden="false" customHeight="false" outlineLevel="0" collapsed="false">
      <c r="B6" s="20" t="s">
        <v>44</v>
      </c>
      <c r="C6" s="25" t="n">
        <v>207911</v>
      </c>
    </row>
    <row r="7" customFormat="false" ht="22.35" hidden="false" customHeight="false" outlineLevel="0" collapsed="false">
      <c r="B7" s="20" t="s">
        <v>45</v>
      </c>
      <c r="C7" s="25" t="n">
        <v>8924</v>
      </c>
      <c r="F7" s="26" t="s">
        <v>46</v>
      </c>
    </row>
    <row r="8" customFormat="false" ht="15" hidden="false" customHeight="false" outlineLevel="0" collapsed="false">
      <c r="B8" s="27" t="s">
        <v>47</v>
      </c>
      <c r="C8" s="28" t="n">
        <f aca="false">Inputs!$C$6-Inputs!$C$7</f>
        <v>198987</v>
      </c>
    </row>
    <row r="9" customFormat="false" ht="15" hidden="false" customHeight="false" outlineLevel="0" collapsed="false">
      <c r="B9" s="20" t="s">
        <v>48</v>
      </c>
      <c r="C9" s="25" t="n">
        <v>57688</v>
      </c>
    </row>
    <row r="10" customFormat="false" ht="15" hidden="false" customHeight="false" outlineLevel="0" collapsed="false">
      <c r="B10" s="20" t="s">
        <v>49</v>
      </c>
      <c r="C10" s="28" t="n">
        <f aca="false">Inputs!$C$8-Inputs!$C$9</f>
        <v>141299</v>
      </c>
    </row>
    <row r="11" customFormat="false" ht="15" hidden="false" customHeight="false" outlineLevel="0" collapsed="false">
      <c r="B11" s="20" t="s">
        <v>50</v>
      </c>
      <c r="C11" s="25" t="n">
        <v>27061</v>
      </c>
    </row>
    <row r="12" customFormat="false" ht="22.35" hidden="false" customHeight="false" outlineLevel="0" collapsed="false">
      <c r="B12" s="20" t="s">
        <v>51</v>
      </c>
      <c r="C12" s="25" t="n">
        <v>39981</v>
      </c>
      <c r="F12" s="26" t="s">
        <v>52</v>
      </c>
    </row>
    <row r="13" customFormat="false" ht="15" hidden="false" customHeight="false" outlineLevel="0" collapsed="false">
      <c r="B13" s="20" t="s">
        <v>53</v>
      </c>
      <c r="C13" s="25" t="n">
        <v>123162</v>
      </c>
    </row>
    <row r="14" customFormat="false" ht="15" hidden="false" customHeight="false" outlineLevel="0" collapsed="false">
      <c r="B14" s="20" t="s">
        <v>54</v>
      </c>
      <c r="C14" s="25" t="n">
        <v>27552</v>
      </c>
    </row>
    <row r="15" customFormat="false" ht="15" hidden="false" customHeight="false" outlineLevel="0" collapsed="false">
      <c r="B15" s="20" t="s">
        <v>55</v>
      </c>
      <c r="C15" s="29" t="n">
        <f aca="false">Inputs!$C$14/Inputs!$C$13</f>
        <v>0.223705363667365</v>
      </c>
    </row>
    <row r="16" customFormat="false" ht="15" hidden="false" customHeight="false" outlineLevel="0" collapsed="false">
      <c r="B16" s="20" t="s">
        <v>56</v>
      </c>
      <c r="C16" s="25" t="n">
        <v>192113</v>
      </c>
    </row>
    <row r="17" customFormat="false" ht="15" hidden="false" customHeight="false" outlineLevel="0" collapsed="false">
      <c r="B17" s="20" t="s">
        <v>57</v>
      </c>
      <c r="C17" s="25" t="n">
        <v>144271</v>
      </c>
    </row>
    <row r="18" customFormat="false" ht="15" hidden="false" customHeight="false" outlineLevel="0" collapsed="false">
      <c r="B18" s="20" t="s">
        <v>58</v>
      </c>
      <c r="C18" s="25" t="n">
        <v>7443</v>
      </c>
    </row>
    <row r="20" customFormat="false" ht="15.75" hidden="false" customHeight="true" outlineLevel="0" collapsed="false">
      <c r="B20" s="24" t="s">
        <v>59</v>
      </c>
      <c r="C20" s="1"/>
      <c r="D20" s="1"/>
      <c r="E20" s="1"/>
      <c r="F20" s="1"/>
    </row>
    <row r="21" customFormat="false" ht="15" hidden="false" customHeight="false" outlineLevel="0" collapsed="false">
      <c r="B21" s="20" t="s">
        <v>60</v>
      </c>
      <c r="C21" s="25" t="n">
        <v>374421</v>
      </c>
    </row>
    <row r="22" customFormat="false" ht="15" hidden="false" customHeight="false" outlineLevel="0" collapsed="false">
      <c r="B22" s="20" t="s">
        <v>61</v>
      </c>
      <c r="C22" s="25" t="n">
        <v>249704</v>
      </c>
    </row>
    <row r="23" customFormat="false" ht="15" hidden="false" customHeight="false" outlineLevel="0" collapsed="false">
      <c r="B23" s="20" t="s">
        <v>62</v>
      </c>
      <c r="C23" s="25" t="n">
        <v>23579</v>
      </c>
    </row>
    <row r="24" customFormat="false" ht="22.35" hidden="false" customHeight="false" outlineLevel="0" collapsed="false">
      <c r="B24" s="20" t="s">
        <v>63</v>
      </c>
      <c r="C24" s="25" t="n">
        <v>99552</v>
      </c>
      <c r="F24" s="26" t="s">
        <v>64</v>
      </c>
    </row>
    <row r="25" customFormat="false" ht="15" hidden="false" customHeight="false" outlineLevel="0" collapsed="false">
      <c r="B25" s="20" t="s">
        <v>65</v>
      </c>
      <c r="C25" s="25" t="n">
        <v>904030</v>
      </c>
    </row>
    <row r="26" customFormat="false" ht="15" hidden="false" customHeight="false" outlineLevel="0" collapsed="false">
      <c r="B26" s="20" t="s">
        <v>66</v>
      </c>
      <c r="C26" s="25" t="n">
        <v>181836</v>
      </c>
    </row>
    <row r="27" customFormat="false" ht="15" hidden="false" customHeight="false" outlineLevel="0" collapsed="false">
      <c r="B27" s="20" t="s">
        <v>67</v>
      </c>
      <c r="C27" s="25" t="n">
        <v>103670</v>
      </c>
    </row>
    <row r="29" customFormat="false" ht="15.75" hidden="false" customHeight="true" outlineLevel="0" collapsed="false">
      <c r="B29" s="24" t="s">
        <v>68</v>
      </c>
      <c r="C29" s="1"/>
      <c r="D29" s="1"/>
      <c r="E29" s="1"/>
      <c r="F29" s="1"/>
    </row>
    <row r="30" customFormat="false" ht="15" hidden="false" customHeight="false" outlineLevel="0" collapsed="false">
      <c r="B30" s="20" t="s">
        <v>69</v>
      </c>
      <c r="C30" s="30" t="n">
        <v>1244.6</v>
      </c>
    </row>
    <row r="31" customFormat="false" ht="15" hidden="false" customHeight="false" outlineLevel="0" collapsed="false">
      <c r="B31" s="20" t="s">
        <v>70</v>
      </c>
      <c r="C31" s="30" t="n">
        <v>1353.25</v>
      </c>
    </row>
    <row r="32" customFormat="false" ht="15" hidden="false" customHeight="false" outlineLevel="0" collapsed="false">
      <c r="B32" s="27" t="s">
        <v>71</v>
      </c>
      <c r="C32" s="28" t="n">
        <f aca="false">Inputs!$C$30*Inputs!$C$31</f>
        <v>1684254.95</v>
      </c>
    </row>
    <row r="33" customFormat="false" ht="15" hidden="false" customHeight="false" outlineLevel="0" collapsed="false">
      <c r="B33" s="20" t="s">
        <v>72</v>
      </c>
      <c r="C33" s="30" t="n">
        <v>6</v>
      </c>
    </row>
    <row r="35" customFormat="false" ht="15.75" hidden="false" customHeight="true" outlineLevel="0" collapsed="false">
      <c r="B35" s="24" t="s">
        <v>73</v>
      </c>
      <c r="C35" s="1"/>
      <c r="D35" s="1"/>
      <c r="E35" s="1"/>
      <c r="F35" s="1"/>
    </row>
    <row r="36" customFormat="false" ht="15" hidden="false" customHeight="false" outlineLevel="0" collapsed="false">
      <c r="B36" s="20" t="s">
        <v>74</v>
      </c>
      <c r="C36" s="31" t="n">
        <v>0.0655</v>
      </c>
      <c r="F36" s="26" t="s">
        <v>75</v>
      </c>
    </row>
    <row r="37" customFormat="false" ht="15" hidden="false" customHeight="false" outlineLevel="0" collapsed="false">
      <c r="B37" s="20" t="s">
        <v>76</v>
      </c>
      <c r="C37" s="31" t="n">
        <v>0.07</v>
      </c>
      <c r="F37" s="26" t="s">
        <v>77</v>
      </c>
    </row>
    <row r="38" customFormat="false" ht="15" hidden="false" customHeight="false" outlineLevel="0" collapsed="false">
      <c r="B38" s="20" t="s">
        <v>78</v>
      </c>
      <c r="C38" s="30" t="n">
        <v>1.05</v>
      </c>
      <c r="F38" s="26" t="s">
        <v>79</v>
      </c>
    </row>
    <row r="39" customFormat="false" ht="15" hidden="false" customHeight="false" outlineLevel="0" collapsed="false">
      <c r="B39" s="20" t="s">
        <v>80</v>
      </c>
      <c r="C39" s="31" t="n">
        <v>0.2517</v>
      </c>
      <c r="F39" s="26" t="s">
        <v>81</v>
      </c>
    </row>
    <row r="41" customFormat="false" ht="15.75" hidden="false" customHeight="true" outlineLevel="0" collapsed="false">
      <c r="B41" s="24" t="s">
        <v>82</v>
      </c>
      <c r="C41" s="1"/>
      <c r="D41" s="1"/>
      <c r="E41" s="1"/>
      <c r="F41" s="1"/>
    </row>
    <row r="42" customFormat="false" ht="39.75" hidden="false" customHeight="true" outlineLevel="0" collapsed="false">
      <c r="B42" s="19" t="s">
        <v>83</v>
      </c>
      <c r="C42" s="19"/>
      <c r="D42" s="19"/>
      <c r="E42" s="19"/>
      <c r="F42" s="19"/>
    </row>
    <row r="43" customFormat="false" ht="18" hidden="false" customHeight="true" outlineLevel="0" collapsed="false">
      <c r="B43" s="27" t="s">
        <v>84</v>
      </c>
      <c r="C43" s="32" t="s">
        <v>85</v>
      </c>
      <c r="D43" s="32" t="s">
        <v>86</v>
      </c>
      <c r="E43" s="32" t="s">
        <v>87</v>
      </c>
      <c r="F43" s="32" t="s">
        <v>88</v>
      </c>
      <c r="G43" s="32" t="s">
        <v>89</v>
      </c>
    </row>
    <row r="44" customFormat="false" ht="15" hidden="false" customHeight="false" outlineLevel="0" collapsed="false">
      <c r="B44" s="20" t="s">
        <v>90</v>
      </c>
      <c r="C44" s="33" t="n">
        <v>1</v>
      </c>
      <c r="D44" s="33" t="n">
        <v>1.75</v>
      </c>
      <c r="E44" s="33" t="n">
        <v>2.75</v>
      </c>
      <c r="F44" s="33" t="n">
        <v>4</v>
      </c>
      <c r="G44" s="33" t="n">
        <v>5.5</v>
      </c>
    </row>
    <row r="45" customFormat="false" ht="15" hidden="false" customHeight="false" outlineLevel="0" collapsed="false">
      <c r="B45" s="20" t="s">
        <v>91</v>
      </c>
      <c r="C45" s="33" t="n">
        <v>12</v>
      </c>
      <c r="D45" s="33" t="n">
        <v>8</v>
      </c>
      <c r="E45" s="33" t="n">
        <v>5</v>
      </c>
      <c r="F45" s="33" t="n">
        <v>3</v>
      </c>
      <c r="G45" s="33" t="n">
        <v>2</v>
      </c>
    </row>
    <row r="46" customFormat="false" ht="15" hidden="false" customHeight="false" outlineLevel="0" collapsed="false">
      <c r="B46" s="20" t="s">
        <v>92</v>
      </c>
      <c r="C46" s="31" t="n">
        <v>0.6</v>
      </c>
      <c r="D46" s="31" t="n">
        <v>0.45</v>
      </c>
      <c r="E46" s="31" t="n">
        <v>0.3</v>
      </c>
      <c r="F46" s="31" t="n">
        <v>0.2</v>
      </c>
      <c r="G46" s="31" t="n">
        <v>0.12</v>
      </c>
    </row>
    <row r="47" customFormat="false" ht="15" hidden="false" customHeight="false" outlineLevel="0" collapsed="false">
      <c r="B47" s="20" t="s">
        <v>93</v>
      </c>
      <c r="C47" s="31" t="n">
        <v>0.008</v>
      </c>
      <c r="D47" s="31" t="n">
        <v>0.014</v>
      </c>
      <c r="E47" s="31" t="n">
        <v>0.022</v>
      </c>
      <c r="F47" s="31" t="n">
        <v>0.035</v>
      </c>
      <c r="G47" s="31" t="n">
        <v>0.055</v>
      </c>
    </row>
    <row r="48" customFormat="false" ht="15" hidden="false" customHeight="false" outlineLevel="0" collapsed="false">
      <c r="B48" s="20" t="s">
        <v>94</v>
      </c>
      <c r="C48" s="29" t="n">
        <f aca="false">Inputs!$C$36+Inputs!$C$47</f>
        <v>0.0735</v>
      </c>
      <c r="D48" s="29" t="n">
        <f aca="false">Inputs!$C$36+Inputs!$D$47</f>
        <v>0.0795</v>
      </c>
      <c r="E48" s="29" t="n">
        <f aca="false">Inputs!$C$36+Inputs!$E$47</f>
        <v>0.0875</v>
      </c>
      <c r="F48" s="29" t="n">
        <f aca="false">Inputs!$C$36+Inputs!$F$47</f>
        <v>0.1005</v>
      </c>
      <c r="G48" s="29" t="n">
        <f aca="false">Inputs!$C$36+Inputs!$G$47</f>
        <v>0.1205</v>
      </c>
    </row>
  </sheetData>
  <mergeCells count="1">
    <mergeCell ref="B42:F4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5" min="3" style="0" width="15"/>
    <col collapsed="false" customWidth="true" hidden="false" outlineLevel="0" max="6" min="6" style="0" width="60"/>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95</v>
      </c>
      <c r="C2" s="1"/>
      <c r="D2" s="1"/>
      <c r="E2" s="1"/>
      <c r="F2" s="1"/>
    </row>
    <row r="4" customFormat="false" ht="15.75" hidden="false" customHeight="true" outlineLevel="0" collapsed="false">
      <c r="B4" s="24" t="s">
        <v>96</v>
      </c>
      <c r="C4" s="1"/>
      <c r="D4" s="1"/>
      <c r="E4" s="1"/>
      <c r="F4" s="1"/>
    </row>
    <row r="5" customFormat="false" ht="15" hidden="false" customHeight="false" outlineLevel="0" collapsed="false">
      <c r="B5" s="27" t="s">
        <v>97</v>
      </c>
      <c r="C5" s="28" t="n">
        <f aca="false">Inputs!$C$21-Inputs!$C$22</f>
        <v>124717</v>
      </c>
      <c r="F5" s="26" t="s">
        <v>98</v>
      </c>
    </row>
    <row r="6" customFormat="false" ht="15" hidden="false" customHeight="false" outlineLevel="0" collapsed="false">
      <c r="B6" s="20" t="s">
        <v>99</v>
      </c>
      <c r="C6" s="34" t="n">
        <f aca="false">Inputs!$C$23</f>
        <v>23579</v>
      </c>
    </row>
    <row r="7" customFormat="false" ht="15" hidden="false" customHeight="false" outlineLevel="0" collapsed="false">
      <c r="B7" s="20" t="s">
        <v>100</v>
      </c>
      <c r="C7" s="34" t="n">
        <f aca="false">Inputs!$C$24</f>
        <v>99552</v>
      </c>
    </row>
    <row r="8" customFormat="false" ht="15" hidden="false" customHeight="false" outlineLevel="0" collapsed="false">
      <c r="B8" s="27" t="s">
        <v>101</v>
      </c>
      <c r="C8" s="35" t="n">
        <f aca="false">'Credit Profile'!$C$5+'Credit Profile'!$C$6+'Credit Profile'!$C$7</f>
        <v>247848</v>
      </c>
    </row>
    <row r="9" customFormat="false" ht="15" hidden="false" customHeight="false" outlineLevel="0" collapsed="false">
      <c r="B9" s="20" t="s">
        <v>102</v>
      </c>
      <c r="C9" s="28" t="n">
        <f aca="false">Inputs!$C$21+Inputs!$C$23+Inputs!$C$24</f>
        <v>497552</v>
      </c>
    </row>
    <row r="11" customFormat="false" ht="15.75" hidden="false" customHeight="true" outlineLevel="0" collapsed="false">
      <c r="B11" s="24" t="s">
        <v>103</v>
      </c>
      <c r="C11" s="1"/>
      <c r="D11" s="1"/>
      <c r="E11" s="1"/>
      <c r="F11" s="1"/>
    </row>
    <row r="12" customFormat="false" ht="15" hidden="false" customHeight="false" outlineLevel="0" collapsed="false">
      <c r="B12" s="20" t="s">
        <v>104</v>
      </c>
      <c r="C12" s="36" t="n">
        <f aca="false">'Credit Profile'!$C$5/Inputs!$C$6</f>
        <v>0.599857631390355</v>
      </c>
    </row>
    <row r="13" customFormat="false" ht="15" hidden="false" customHeight="false" outlineLevel="0" collapsed="false">
      <c r="B13" s="27" t="s">
        <v>105</v>
      </c>
      <c r="C13" s="36" t="n">
        <f aca="false">'Credit Profile'!$C$8/Inputs!$C$8</f>
        <v>1.24554870418671</v>
      </c>
      <c r="F13" s="26" t="s">
        <v>106</v>
      </c>
    </row>
    <row r="14" customFormat="false" ht="15" hidden="false" customHeight="false" outlineLevel="0" collapsed="false">
      <c r="B14" s="20" t="s">
        <v>107</v>
      </c>
      <c r="C14" s="36" t="n">
        <f aca="false">'Credit Profile'!$C$9/Inputs!$C$8</f>
        <v>2.50042465085659</v>
      </c>
    </row>
    <row r="15" customFormat="false" ht="15" hidden="false" customHeight="false" outlineLevel="0" collapsed="false">
      <c r="B15" s="20" t="s">
        <v>108</v>
      </c>
      <c r="C15" s="36" t="n">
        <f aca="false">Inputs!$C$8/Inputs!$C$11</f>
        <v>7.35327593215328</v>
      </c>
    </row>
    <row r="16" customFormat="false" ht="15" hidden="false" customHeight="false" outlineLevel="0" collapsed="false">
      <c r="B16" s="27" t="s">
        <v>109</v>
      </c>
      <c r="C16" s="36" t="n">
        <f aca="false">Inputs!$C$8/Inputs!$C$12</f>
        <v>4.97703909356945</v>
      </c>
      <c r="F16" s="26" t="s">
        <v>110</v>
      </c>
    </row>
    <row r="17" customFormat="false" ht="15" hidden="false" customHeight="false" outlineLevel="0" collapsed="false">
      <c r="B17" s="20" t="s">
        <v>111</v>
      </c>
      <c r="C17" s="36" t="n">
        <f aca="false">Inputs!$C$10/Inputs!$C$11</f>
        <v>5.22149957503418</v>
      </c>
    </row>
    <row r="19" customFormat="false" ht="15.75" hidden="false" customHeight="true" outlineLevel="0" collapsed="false">
      <c r="B19" s="24" t="s">
        <v>112</v>
      </c>
      <c r="C19" s="1"/>
      <c r="D19" s="1"/>
      <c r="E19" s="1"/>
      <c r="F19" s="1"/>
    </row>
    <row r="20" customFormat="false" ht="22.35" hidden="false" customHeight="false" outlineLevel="0" collapsed="false">
      <c r="B20" s="27" t="s">
        <v>113</v>
      </c>
      <c r="C20" s="28" t="n">
        <f aca="false">Inputs!$C$8-Inputs!$C$12-Inputs!$C$14</f>
        <v>131454</v>
      </c>
      <c r="F20" s="26" t="s">
        <v>114</v>
      </c>
    </row>
    <row r="21" customFormat="false" ht="15" hidden="false" customHeight="false" outlineLevel="0" collapsed="false">
      <c r="B21" s="27" t="s">
        <v>115</v>
      </c>
      <c r="C21" s="29" t="n">
        <f aca="false">'Credit Profile'!$C$20/'Credit Profile'!$C$8</f>
        <v>0.530381524159969</v>
      </c>
    </row>
    <row r="22" customFormat="false" ht="15" hidden="false" customHeight="false" outlineLevel="0" collapsed="false">
      <c r="B22" s="20" t="s">
        <v>116</v>
      </c>
      <c r="C22" s="28" t="n">
        <f aca="false">Inputs!$C$16-Inputs!$C$17</f>
        <v>47842</v>
      </c>
    </row>
    <row r="23" customFormat="false" ht="15" hidden="false" customHeight="false" outlineLevel="0" collapsed="false">
      <c r="B23" s="27" t="s">
        <v>117</v>
      </c>
      <c r="C23" s="28" t="n">
        <f aca="false">'Credit Profile'!$C$22-Inputs!$C$18</f>
        <v>40399</v>
      </c>
    </row>
    <row r="24" customFormat="false" ht="22.35" hidden="false" customHeight="false" outlineLevel="0" collapsed="false">
      <c r="B24" s="20" t="s">
        <v>118</v>
      </c>
      <c r="C24" s="29" t="n">
        <f aca="false">Inputs!$C$17/Inputs!$C$8</f>
        <v>0.725027263087538</v>
      </c>
      <c r="F24" s="26" t="s">
        <v>119</v>
      </c>
    </row>
    <row r="25" customFormat="false" ht="15" hidden="false" customHeight="false" outlineLevel="0" collapsed="false">
      <c r="B25" s="20" t="s">
        <v>120</v>
      </c>
      <c r="C25" s="37" t="n">
        <f aca="false">IF('Credit Profile'!$C$23&gt;0,'Credit Profile'!$C$8/'Credit Profile'!$C$23,"n/m")</f>
        <v>6.13500334166687</v>
      </c>
    </row>
    <row r="27" customFormat="false" ht="15.75" hidden="false" customHeight="true" outlineLevel="0" collapsed="false">
      <c r="B27" s="24" t="s">
        <v>121</v>
      </c>
      <c r="C27" s="1"/>
      <c r="D27" s="1"/>
      <c r="E27" s="1"/>
      <c r="F27" s="1"/>
    </row>
    <row r="28" customFormat="false" ht="15" hidden="false" customHeight="false" outlineLevel="0" collapsed="false">
      <c r="B28" s="20" t="s">
        <v>122</v>
      </c>
      <c r="C28" s="29" t="n">
        <f aca="false">'Credit Profile'!$C$9/('Credit Profile'!$C$9+Inputs!$C$25+Inputs!$C$26)</f>
        <v>0.314226565568915</v>
      </c>
    </row>
    <row r="29" customFormat="false" ht="15" hidden="false" customHeight="false" outlineLevel="0" collapsed="false">
      <c r="B29" s="27" t="s">
        <v>123</v>
      </c>
      <c r="C29" s="29" t="n">
        <f aca="false">'Credit Profile'!$C$8/('Credit Profile'!$C$8+Inputs!$C$32)</f>
        <v>0.12827887872124</v>
      </c>
      <c r="F29" s="26" t="s">
        <v>124</v>
      </c>
    </row>
    <row r="30" customFormat="false" ht="15" hidden="false" customHeight="false" outlineLevel="0" collapsed="false">
      <c r="B30" s="20" t="s">
        <v>125</v>
      </c>
      <c r="C30" s="28" t="n">
        <f aca="false">Inputs!$C$32+'Credit Profile'!$C$8+Inputs!$C$26</f>
        <v>2113938.95</v>
      </c>
    </row>
    <row r="31" customFormat="false" ht="15" hidden="false" customHeight="false" outlineLevel="0" collapsed="false">
      <c r="B31" s="20" t="s">
        <v>126</v>
      </c>
      <c r="C31" s="36" t="n">
        <f aca="false">'Credit Profile'!$C$30/Inputs!$C$8</f>
        <v>10.6235027916397</v>
      </c>
    </row>
    <row r="33" customFormat="false" ht="15.75" hidden="false" customHeight="true" outlineLevel="0" collapsed="false">
      <c r="B33" s="24" t="s">
        <v>127</v>
      </c>
      <c r="C33" s="1"/>
      <c r="D33" s="1"/>
      <c r="E33" s="1"/>
      <c r="F33" s="1"/>
    </row>
    <row r="34" customFormat="false" ht="15" hidden="false" customHeight="false" outlineLevel="0" collapsed="false">
      <c r="B34" s="20" t="s">
        <v>128</v>
      </c>
      <c r="C34" s="38" t="str">
        <f aca="false">IF('Credit Profile'!$C$13&lt;=Inputs!$C$44,"AA",IF('Credit Profile'!$C$13&lt;=Inputs!$D$44,"A",IF('Credit Profile'!$C$13&lt;=Inputs!$E$44,"BBB",IF('Credit Profile'!$C$13&lt;=Inputs!$F$44,"BB","B"))))</f>
        <v>A</v>
      </c>
    </row>
    <row r="35" customFormat="false" ht="15" hidden="false" customHeight="false" outlineLevel="0" collapsed="false">
      <c r="B35" s="20" t="s">
        <v>129</v>
      </c>
      <c r="C35" s="38" t="str">
        <f aca="false">IF('Credit Profile'!$C$16&gt;=Inputs!$C$45,"AA",IF('Credit Profile'!$C$16&gt;=Inputs!$D$45,"A",IF('Credit Profile'!$C$16&gt;=Inputs!$E$45,"BBB",IF('Credit Profile'!$C$16&gt;=Inputs!$F$45,"BB","B"))))</f>
        <v>BB</v>
      </c>
    </row>
    <row r="36" customFormat="false" ht="15" hidden="false" customHeight="false" outlineLevel="0" collapsed="false">
      <c r="B36" s="20" t="s">
        <v>130</v>
      </c>
      <c r="C36" s="38" t="str">
        <f aca="false">IF('Credit Profile'!$C$21&gt;=Inputs!$C$46,"AA",IF('Credit Profile'!$C$21&gt;=Inputs!$D$46,"A",IF('Credit Profile'!$C$21&gt;=Inputs!$E$46,"BBB",IF('Credit Profile'!$C$21&gt;=Inputs!$F$46,"BB","B"))))</f>
        <v>A</v>
      </c>
    </row>
    <row r="37" customFormat="false" ht="48" hidden="false" customHeight="true" outlineLevel="0" collapsed="false">
      <c r="B37" s="19" t="s">
        <v>131</v>
      </c>
      <c r="C37" s="19"/>
      <c r="D37" s="19"/>
      <c r="E37" s="19"/>
      <c r="F37" s="19"/>
    </row>
  </sheetData>
  <mergeCells count="1">
    <mergeCell ref="B37:F3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Structure&amp;R&amp;"Arial,Regular"&amp;8Credit Profile</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4"/>
    <col collapsed="false" customWidth="true" hidden="false" outlineLevel="0" max="8" min="3" style="0" width="14"/>
  </cols>
  <sheetData>
    <row r="1" customFormat="false" ht="30" hidden="false" customHeight="true" outlineLevel="0" collapsed="false">
      <c r="A1" s="1"/>
      <c r="B1" s="21" t="s">
        <v>39</v>
      </c>
      <c r="C1" s="1"/>
      <c r="D1" s="1"/>
      <c r="E1" s="1"/>
      <c r="F1" s="1"/>
      <c r="G1" s="1"/>
      <c r="H1" s="22" t="s">
        <v>40</v>
      </c>
    </row>
    <row r="2" customFormat="false" ht="18" hidden="false" customHeight="true" outlineLevel="0" collapsed="false">
      <c r="A2" s="1"/>
      <c r="B2" s="23" t="s">
        <v>132</v>
      </c>
      <c r="C2" s="1"/>
      <c r="D2" s="1"/>
      <c r="E2" s="1"/>
      <c r="F2" s="1"/>
      <c r="G2" s="1"/>
      <c r="H2" s="1"/>
    </row>
    <row r="4" customFormat="false" ht="15.75" hidden="false" customHeight="true" outlineLevel="0" collapsed="false">
      <c r="B4" s="24" t="s">
        <v>133</v>
      </c>
      <c r="C4" s="1"/>
      <c r="D4" s="1"/>
      <c r="E4" s="1"/>
      <c r="F4" s="1"/>
      <c r="G4" s="1"/>
      <c r="H4" s="1"/>
    </row>
    <row r="5" customFormat="false" ht="18" hidden="false" customHeight="true" outlineLevel="0" collapsed="false">
      <c r="B5" s="27" t="s">
        <v>84</v>
      </c>
      <c r="C5" s="32" t="s">
        <v>85</v>
      </c>
      <c r="D5" s="32" t="s">
        <v>86</v>
      </c>
      <c r="E5" s="32" t="s">
        <v>87</v>
      </c>
      <c r="F5" s="32" t="s">
        <v>88</v>
      </c>
      <c r="G5" s="32" t="s">
        <v>89</v>
      </c>
    </row>
    <row r="6" customFormat="false" ht="15" hidden="false" customHeight="false" outlineLevel="0" collapsed="false">
      <c r="B6" s="20" t="s">
        <v>134</v>
      </c>
      <c r="C6" s="28" t="n">
        <f aca="false">Inputs!$C$8*Inputs!$C$44</f>
        <v>198987</v>
      </c>
      <c r="D6" s="28" t="n">
        <f aca="false">Inputs!$C$8*Inputs!$D$44</f>
        <v>348227.25</v>
      </c>
      <c r="E6" s="28" t="n">
        <f aca="false">Inputs!$C$8*Inputs!$E$44</f>
        <v>547214.25</v>
      </c>
      <c r="F6" s="28" t="n">
        <f aca="false">Inputs!$C$8*Inputs!$F$44</f>
        <v>795948</v>
      </c>
      <c r="G6" s="28" t="n">
        <f aca="false">Inputs!$C$8*Inputs!$G$44</f>
        <v>1094428.5</v>
      </c>
    </row>
    <row r="7" customFormat="false" ht="15" hidden="false" customHeight="false" outlineLevel="0" collapsed="false">
      <c r="B7" s="20" t="s">
        <v>135</v>
      </c>
      <c r="C7" s="28" t="n">
        <f aca="false">Inputs!$C$8/(Inputs!$C$45*Inputs!$C$48)</f>
        <v>225608.843537415</v>
      </c>
      <c r="D7" s="28" t="n">
        <f aca="false">Inputs!$C$8/(Inputs!$D$45*Inputs!$D$48)</f>
        <v>312872.641509434</v>
      </c>
      <c r="E7" s="28" t="n">
        <f aca="false">Inputs!$C$8/(Inputs!$E$45*Inputs!$E$48)</f>
        <v>454827.428571429</v>
      </c>
      <c r="F7" s="28" t="n">
        <f aca="false">Inputs!$C$8/(Inputs!$F$45*Inputs!$F$48)</f>
        <v>659990.049751244</v>
      </c>
      <c r="G7" s="28" t="n">
        <f aca="false">Inputs!$C$8/(Inputs!$G$45*Inputs!$G$48)</f>
        <v>825672.199170125</v>
      </c>
    </row>
    <row r="8" customFormat="false" ht="15" hidden="false" customHeight="false" outlineLevel="0" collapsed="false">
      <c r="B8" s="20" t="s">
        <v>136</v>
      </c>
      <c r="C8" s="28" t="n">
        <f aca="false">'Credit Profile'!$C$20/Inputs!$C$46</f>
        <v>219090</v>
      </c>
      <c r="D8" s="28" t="n">
        <f aca="false">'Credit Profile'!$C$20/Inputs!$D$46</f>
        <v>292120</v>
      </c>
      <c r="E8" s="28" t="n">
        <f aca="false">'Credit Profile'!$C$20/Inputs!$E$46</f>
        <v>438180</v>
      </c>
      <c r="F8" s="28" t="n">
        <f aca="false">'Credit Profile'!$C$20/Inputs!$F$46</f>
        <v>657270</v>
      </c>
      <c r="G8" s="28" t="n">
        <f aca="false">'Credit Profile'!$C$20/Inputs!$G$46</f>
        <v>1095450</v>
      </c>
    </row>
    <row r="9" customFormat="false" ht="15" hidden="false" customHeight="false" outlineLevel="0" collapsed="false">
      <c r="B9" s="27" t="s">
        <v>137</v>
      </c>
      <c r="C9" s="35" t="n">
        <f aca="false">MIN('Debt Capacity'!$C$6,'Debt Capacity'!$C$7,'Debt Capacity'!$C$8)</f>
        <v>198987</v>
      </c>
      <c r="D9" s="35" t="n">
        <f aca="false">MIN('Debt Capacity'!$D$6,'Debt Capacity'!$D$7,'Debt Capacity'!$D$8)</f>
        <v>292120</v>
      </c>
      <c r="E9" s="35" t="n">
        <f aca="false">MIN('Debt Capacity'!$E$6,'Debt Capacity'!$E$7,'Debt Capacity'!$E$8)</f>
        <v>438180</v>
      </c>
      <c r="F9" s="35" t="n">
        <f aca="false">MIN('Debt Capacity'!$F$6,'Debt Capacity'!$F$7,'Debt Capacity'!$F$8)</f>
        <v>657270</v>
      </c>
      <c r="G9" s="35" t="n">
        <f aca="false">MIN('Debt Capacity'!$G$6,'Debt Capacity'!$G$7,'Debt Capacity'!$G$8)</f>
        <v>825672.199170125</v>
      </c>
    </row>
    <row r="10" customFormat="false" ht="15" hidden="false" customHeight="false" outlineLevel="0" collapsed="false">
      <c r="B10" s="20" t="s">
        <v>138</v>
      </c>
      <c r="C10" s="38" t="str">
        <f aca="false">IF('Debt Capacity'!$C$9='Debt Capacity'!$C$6,"Leverage",IF('Debt Capacity'!$C$9='Debt Capacity'!$C$7,"Cover","FFO"))</f>
        <v>Leverage</v>
      </c>
      <c r="D10" s="38" t="str">
        <f aca="false">IF('Debt Capacity'!$D$9='Debt Capacity'!$D$6,"Leverage",IF('Debt Capacity'!$D$9='Debt Capacity'!$D$7,"Cover","FFO"))</f>
        <v>FFO</v>
      </c>
      <c r="E10" s="38" t="str">
        <f aca="false">IF('Debt Capacity'!$E$9='Debt Capacity'!$E$6,"Leverage",IF('Debt Capacity'!$E$9='Debt Capacity'!$E$7,"Cover","FFO"))</f>
        <v>FFO</v>
      </c>
      <c r="F10" s="38" t="str">
        <f aca="false">IF('Debt Capacity'!$F$9='Debt Capacity'!$F$6,"Leverage",IF('Debt Capacity'!$F$9='Debt Capacity'!$F$7,"Cover","FFO"))</f>
        <v>FFO</v>
      </c>
      <c r="G10" s="38" t="str">
        <f aca="false">IF('Debt Capacity'!$G$9='Debt Capacity'!$G$6,"Leverage",IF('Debt Capacity'!$G$9='Debt Capacity'!$G$7,"Cover","FFO"))</f>
        <v>Cover</v>
      </c>
    </row>
    <row r="12" customFormat="false" ht="15.75" hidden="false" customHeight="true" outlineLevel="0" collapsed="false">
      <c r="B12" s="24" t="s">
        <v>139</v>
      </c>
      <c r="C12" s="1"/>
      <c r="D12" s="1"/>
      <c r="E12" s="1"/>
      <c r="F12" s="1"/>
      <c r="G12" s="1"/>
      <c r="H12" s="1"/>
    </row>
    <row r="13" customFormat="false" ht="15" hidden="false" customHeight="false" outlineLevel="0" collapsed="false">
      <c r="B13" s="20" t="s">
        <v>140</v>
      </c>
      <c r="C13" s="34" t="n">
        <f aca="false">'Credit Profile'!$C$8</f>
        <v>247848</v>
      </c>
      <c r="D13" s="34" t="n">
        <f aca="false">'Credit Profile'!$C$8</f>
        <v>247848</v>
      </c>
      <c r="E13" s="34" t="n">
        <f aca="false">'Credit Profile'!$C$8</f>
        <v>247848</v>
      </c>
      <c r="F13" s="34" t="n">
        <f aca="false">'Credit Profile'!$C$8</f>
        <v>247848</v>
      </c>
      <c r="G13" s="34" t="n">
        <f aca="false">'Credit Profile'!$C$8</f>
        <v>247848</v>
      </c>
    </row>
    <row r="14" customFormat="false" ht="15" hidden="false" customHeight="false" outlineLevel="0" collapsed="false">
      <c r="B14" s="27" t="s">
        <v>141</v>
      </c>
      <c r="C14" s="28" t="n">
        <f aca="false">'Debt Capacity'!$C$9-'Debt Capacity'!$C$13</f>
        <v>-48861</v>
      </c>
      <c r="D14" s="28" t="n">
        <f aca="false">'Debt Capacity'!$D$9-'Debt Capacity'!$D$13</f>
        <v>44272</v>
      </c>
      <c r="E14" s="28" t="n">
        <f aca="false">'Debt Capacity'!$E$9-'Debt Capacity'!$E$13</f>
        <v>190332</v>
      </c>
      <c r="F14" s="28" t="n">
        <f aca="false">'Debt Capacity'!$F$9-'Debt Capacity'!$F$13</f>
        <v>409422</v>
      </c>
      <c r="G14" s="28" t="n">
        <f aca="false">'Debt Capacity'!$G$9-'Debt Capacity'!$G$13</f>
        <v>577824.199170125</v>
      </c>
    </row>
    <row r="15" customFormat="false" ht="15" hidden="false" customHeight="false" outlineLevel="0" collapsed="false">
      <c r="B15" s="20" t="s">
        <v>142</v>
      </c>
      <c r="C15" s="37" t="n">
        <f aca="false">'Debt Capacity'!$C$14/8350</f>
        <v>-5.85161676646707</v>
      </c>
      <c r="D15" s="37" t="n">
        <f aca="false">'Debt Capacity'!$D$14/8350</f>
        <v>5.30203592814371</v>
      </c>
      <c r="E15" s="37" t="n">
        <f aca="false">'Debt Capacity'!$E$14/8350</f>
        <v>22.794251497006</v>
      </c>
      <c r="F15" s="37" t="n">
        <f aca="false">'Debt Capacity'!$F$14/8350</f>
        <v>49.0325748502994</v>
      </c>
      <c r="G15" s="37" t="n">
        <f aca="false">'Debt Capacity'!$G$14/8350</f>
        <v>69.2005028946257</v>
      </c>
    </row>
    <row r="16" customFormat="false" ht="15" hidden="false" customHeight="false" outlineLevel="0" collapsed="false">
      <c r="B16" s="20" t="s">
        <v>143</v>
      </c>
      <c r="C16" s="29" t="n">
        <f aca="false">'Debt Capacity'!$C$14/Inputs!$C$32</f>
        <v>-0.0290104535539587</v>
      </c>
      <c r="D16" s="29" t="n">
        <f aca="false">'Debt Capacity'!$D$14/Inputs!$C$32</f>
        <v>0.0262858066707775</v>
      </c>
      <c r="E16" s="29" t="n">
        <f aca="false">'Debt Capacity'!$E$14/Inputs!$C$32</f>
        <v>0.113006644273184</v>
      </c>
      <c r="F16" s="29" t="n">
        <f aca="false">'Debt Capacity'!$F$14/Inputs!$C$32</f>
        <v>0.243087900676795</v>
      </c>
      <c r="G16" s="29" t="n">
        <f aca="false">'Debt Capacity'!$G$14/Inputs!$C$32</f>
        <v>0.343074069142635</v>
      </c>
    </row>
    <row r="17" customFormat="false" ht="15" hidden="false" customHeight="false" outlineLevel="0" collapsed="false">
      <c r="B17" s="20" t="s">
        <v>144</v>
      </c>
      <c r="C17" s="36" t="n">
        <f aca="false">'Debt Capacity'!$C$9/Inputs!$C$8</f>
        <v>1</v>
      </c>
      <c r="D17" s="36" t="n">
        <f aca="false">'Debt Capacity'!$D$9/Inputs!$C$8</f>
        <v>1.4680356003156</v>
      </c>
      <c r="E17" s="36" t="n">
        <f aca="false">'Debt Capacity'!$E$9/Inputs!$C$8</f>
        <v>2.2020534004734</v>
      </c>
      <c r="F17" s="36" t="n">
        <f aca="false">'Debt Capacity'!$F$9/Inputs!$C$8</f>
        <v>3.3030801007101</v>
      </c>
      <c r="G17" s="36" t="n">
        <f aca="false">'Debt Capacity'!$G$9/Inputs!$C$8</f>
        <v>4.149377593361</v>
      </c>
    </row>
    <row r="18" customFormat="false" ht="15" hidden="false" customHeight="false" outlineLevel="0" collapsed="false">
      <c r="B18" s="20" t="s">
        <v>145</v>
      </c>
      <c r="C18" s="36" t="n">
        <f aca="false">Inputs!$C$8/('Debt Capacity'!$C$9*Inputs!$C$48)</f>
        <v>13.6054421768707</v>
      </c>
      <c r="D18" s="36" t="n">
        <f aca="false">Inputs!$C$8/('Debt Capacity'!$D$9*Inputs!$D$48)</f>
        <v>8.56833195972707</v>
      </c>
      <c r="E18" s="36" t="n">
        <f aca="false">Inputs!$C$8/('Debt Capacity'!$E$9*Inputs!$E$48)</f>
        <v>5.18996107274897</v>
      </c>
      <c r="F18" s="36" t="n">
        <f aca="false">Inputs!$C$8/('Debt Capacity'!$F$9*Inputs!$F$48)</f>
        <v>3.01241521635512</v>
      </c>
      <c r="G18" s="36" t="n">
        <f aca="false">Inputs!$C$8/('Debt Capacity'!$G$9*Inputs!$G$48)</f>
        <v>2</v>
      </c>
    </row>
    <row r="20" customFormat="false" ht="43.5" hidden="false" customHeight="true" outlineLevel="0" collapsed="false">
      <c r="B20" s="19" t="s">
        <v>146</v>
      </c>
      <c r="C20" s="19"/>
      <c r="D20" s="19"/>
      <c r="E20" s="19"/>
      <c r="F20" s="19"/>
      <c r="G20" s="19"/>
      <c r="H20" s="19"/>
    </row>
    <row r="22" customFormat="false" ht="15.75" hidden="false" customHeight="true" outlineLevel="0" collapsed="false">
      <c r="B22" s="24" t="s">
        <v>147</v>
      </c>
      <c r="C22" s="1"/>
      <c r="D22" s="1"/>
      <c r="E22" s="1"/>
      <c r="F22" s="1"/>
      <c r="G22" s="1"/>
      <c r="H22" s="1"/>
    </row>
    <row r="23" customFormat="false" ht="15" hidden="false" customHeight="false" outlineLevel="0" collapsed="false">
      <c r="B23" s="27" t="s">
        <v>148</v>
      </c>
      <c r="C23" s="34" t="n">
        <f aca="false">'Debt Capacity'!$D$14</f>
        <v>44272</v>
      </c>
    </row>
    <row r="24" customFormat="false" ht="15" hidden="false" customHeight="false" outlineLevel="0" collapsed="false">
      <c r="B24" s="20" t="s">
        <v>149</v>
      </c>
      <c r="C24" s="37" t="n">
        <f aca="false">'Debt Capacity'!$C$23/Inputs!$C$17</f>
        <v>0.306866937915451</v>
      </c>
    </row>
    <row r="25" customFormat="false" ht="15" hidden="false" customHeight="false" outlineLevel="0" collapsed="false">
      <c r="B25" s="20" t="s">
        <v>150</v>
      </c>
      <c r="C25" s="37" t="n">
        <f aca="false">IF('Credit Profile'!$C$22&gt;0,'Debt Capacity'!$C$23/'Credit Profile'!$C$22,"n/m")</f>
        <v>0.925379373772</v>
      </c>
    </row>
    <row r="26" customFormat="false" ht="15" hidden="false" customHeight="false" outlineLevel="0" collapsed="false">
      <c r="B26" s="20" t="s">
        <v>151</v>
      </c>
      <c r="C26" s="29" t="n">
        <f aca="false">'Debt Capacity'!$C$23/Inputs!$C$32</f>
        <v>0.0262858066707775</v>
      </c>
    </row>
  </sheetData>
  <mergeCells count="1">
    <mergeCell ref="B20:H2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Structure&amp;R&amp;"Arial,Regular"&amp;8Debt Capacity</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4"/>
    <col collapsed="false" customWidth="true" hidden="false" outlineLevel="0" max="8" min="3" style="0" width="13.5"/>
  </cols>
  <sheetData>
    <row r="1" customFormat="false" ht="30" hidden="false" customHeight="true" outlineLevel="0" collapsed="false">
      <c r="A1" s="1"/>
      <c r="B1" s="21" t="s">
        <v>39</v>
      </c>
      <c r="C1" s="1"/>
      <c r="D1" s="1"/>
      <c r="E1" s="1"/>
      <c r="F1" s="1"/>
      <c r="G1" s="1"/>
      <c r="H1" s="22" t="s">
        <v>40</v>
      </c>
    </row>
    <row r="2" customFormat="false" ht="18" hidden="false" customHeight="true" outlineLevel="0" collapsed="false">
      <c r="A2" s="1"/>
      <c r="B2" s="23" t="s">
        <v>152</v>
      </c>
      <c r="C2" s="1"/>
      <c r="D2" s="1"/>
      <c r="E2" s="1"/>
      <c r="F2" s="1"/>
      <c r="G2" s="1"/>
      <c r="H2" s="1"/>
    </row>
    <row r="4" customFormat="false" ht="15.75" hidden="false" customHeight="true" outlineLevel="0" collapsed="false">
      <c r="B4" s="24" t="s">
        <v>153</v>
      </c>
      <c r="C4" s="1"/>
      <c r="D4" s="1"/>
      <c r="E4" s="1"/>
      <c r="F4" s="1"/>
      <c r="G4" s="1"/>
      <c r="H4" s="1"/>
    </row>
    <row r="5" customFormat="false" ht="15" hidden="false" customHeight="false" outlineLevel="0" collapsed="false">
      <c r="B5" s="20" t="s">
        <v>154</v>
      </c>
      <c r="C5" s="39" t="n">
        <f aca="false">'Credit Profile'!$C$29</f>
        <v>0.12827887872124</v>
      </c>
    </row>
    <row r="6" customFormat="false" ht="15" hidden="false" customHeight="false" outlineLevel="0" collapsed="false">
      <c r="B6" s="20" t="s">
        <v>155</v>
      </c>
      <c r="C6" s="40" t="n">
        <f aca="false">'Optimal Structure'!$C$5/(1-'Optimal Structure'!$C$5)</f>
        <v>0.147155868534036</v>
      </c>
    </row>
    <row r="7" customFormat="false" ht="74.6" hidden="false" customHeight="false" outlineLevel="0" collapsed="false">
      <c r="B7" s="27" t="s">
        <v>156</v>
      </c>
      <c r="C7" s="40" t="n">
        <f aca="false">Inputs!$C$38/(1+(1-Inputs!$C$39)*'Optimal Structure'!$C$6)</f>
        <v>0.945846473211753</v>
      </c>
      <c r="H7" s="26" t="s">
        <v>157</v>
      </c>
    </row>
    <row r="8" customFormat="false" ht="15" hidden="false" customHeight="false" outlineLevel="0" collapsed="false">
      <c r="B8" s="20" t="s">
        <v>158</v>
      </c>
      <c r="C8" s="29" t="n">
        <f aca="false">Inputs!$C$36+Inputs!$C$38*Inputs!$C$37</f>
        <v>0.139</v>
      </c>
    </row>
    <row r="9" customFormat="false" ht="15" hidden="false" customHeight="false" outlineLevel="0" collapsed="false">
      <c r="B9" s="20" t="s">
        <v>159</v>
      </c>
      <c r="C9" s="39" t="n">
        <f aca="false">Inputs!$D$48</f>
        <v>0.0795</v>
      </c>
    </row>
    <row r="10" customFormat="false" ht="15" hidden="false" customHeight="false" outlineLevel="0" collapsed="false">
      <c r="B10" s="27" t="s">
        <v>24</v>
      </c>
      <c r="C10" s="41" t="n">
        <f aca="false">(1-'Optimal Structure'!$C$5)*'Optimal Structure'!$C$8+'Optimal Structure'!$C$5*'Optimal Structure'!$C$9*(1-Inputs!$C$39)</f>
        <v>0.128800527111042</v>
      </c>
    </row>
    <row r="12" customFormat="false" ht="15.75" hidden="false" customHeight="true" outlineLevel="0" collapsed="false">
      <c r="B12" s="24" t="s">
        <v>160</v>
      </c>
      <c r="C12" s="1"/>
      <c r="D12" s="1"/>
      <c r="E12" s="1"/>
      <c r="F12" s="1"/>
      <c r="G12" s="1"/>
      <c r="H12" s="1"/>
    </row>
    <row r="13" customFormat="false" ht="18" hidden="false" customHeight="true" outlineLevel="0" collapsed="false">
      <c r="B13" s="27" t="s">
        <v>161</v>
      </c>
      <c r="C13" s="32" t="s">
        <v>162</v>
      </c>
      <c r="D13" s="32" t="s">
        <v>163</v>
      </c>
      <c r="E13" s="32" t="s">
        <v>164</v>
      </c>
      <c r="F13" s="32" t="s">
        <v>165</v>
      </c>
      <c r="G13" s="32" t="s">
        <v>166</v>
      </c>
      <c r="H13" s="32" t="s">
        <v>167</v>
      </c>
    </row>
    <row r="14" customFormat="false" ht="15" hidden="false" customHeight="false" outlineLevel="0" collapsed="false">
      <c r="B14" s="20" t="s">
        <v>168</v>
      </c>
      <c r="C14" s="31" t="n">
        <v>0</v>
      </c>
      <c r="D14" s="31" t="n">
        <v>0.1</v>
      </c>
      <c r="E14" s="31" t="n">
        <v>0.2</v>
      </c>
      <c r="F14" s="31" t="n">
        <v>0.3</v>
      </c>
      <c r="G14" s="31" t="n">
        <v>0.4</v>
      </c>
      <c r="H14" s="31" t="n">
        <v>0.5</v>
      </c>
    </row>
    <row r="15" customFormat="false" ht="15" hidden="false" customHeight="false" outlineLevel="0" collapsed="false">
      <c r="B15" s="20" t="s">
        <v>169</v>
      </c>
      <c r="C15" s="40" t="n">
        <f aca="false">'Optimal Structure'!$C$14/(1-'Optimal Structure'!$C$14)</f>
        <v>0</v>
      </c>
      <c r="D15" s="40" t="n">
        <f aca="false">'Optimal Structure'!$D$14/(1-'Optimal Structure'!$D$14)</f>
        <v>0.111111111111111</v>
      </c>
      <c r="E15" s="40" t="n">
        <f aca="false">'Optimal Structure'!$E$14/(1-'Optimal Structure'!$E$14)</f>
        <v>0.25</v>
      </c>
      <c r="F15" s="40" t="n">
        <f aca="false">'Optimal Structure'!$F$14/(1-'Optimal Structure'!$F$14)</f>
        <v>0.428571428571429</v>
      </c>
      <c r="G15" s="40" t="n">
        <f aca="false">'Optimal Structure'!$G$14/(1-'Optimal Structure'!$G$14)</f>
        <v>0.666666666666667</v>
      </c>
      <c r="H15" s="40" t="n">
        <f aca="false">'Optimal Structure'!$H$14/(1-'Optimal Structure'!$H$14)</f>
        <v>1</v>
      </c>
    </row>
    <row r="16" customFormat="false" ht="15" hidden="false" customHeight="false" outlineLevel="0" collapsed="false">
      <c r="B16" s="20" t="s">
        <v>170</v>
      </c>
      <c r="C16" s="28" t="n">
        <f aca="false">'Optimal Structure'!$C$14*(Inputs!$C$32+'Credit Profile'!$C$8)</f>
        <v>0</v>
      </c>
      <c r="D16" s="28" t="n">
        <f aca="false">'Optimal Structure'!$D$14*(Inputs!$C$32+'Credit Profile'!$C$8)</f>
        <v>193210.295</v>
      </c>
      <c r="E16" s="28" t="n">
        <f aca="false">'Optimal Structure'!$E$14*(Inputs!$C$32+'Credit Profile'!$C$8)</f>
        <v>386420.59</v>
      </c>
      <c r="F16" s="28" t="n">
        <f aca="false">'Optimal Structure'!$F$14*(Inputs!$C$32+'Credit Profile'!$C$8)</f>
        <v>579630.885</v>
      </c>
      <c r="G16" s="28" t="n">
        <f aca="false">'Optimal Structure'!$G$14*(Inputs!$C$32+'Credit Profile'!$C$8)</f>
        <v>772841.18</v>
      </c>
      <c r="H16" s="28" t="n">
        <f aca="false">'Optimal Structure'!$H$14*(Inputs!$C$32+'Credit Profile'!$C$8)</f>
        <v>966051.475</v>
      </c>
    </row>
    <row r="17" customFormat="false" ht="15" hidden="false" customHeight="false" outlineLevel="0" collapsed="false">
      <c r="B17" s="20" t="s">
        <v>171</v>
      </c>
      <c r="C17" s="36" t="n">
        <f aca="false">'Optimal Structure'!$C$16/Inputs!$C$8</f>
        <v>0</v>
      </c>
      <c r="D17" s="36" t="n">
        <f aca="false">'Optimal Structure'!$D$16/Inputs!$C$8</f>
        <v>0.970969435189234</v>
      </c>
      <c r="E17" s="36" t="n">
        <f aca="false">'Optimal Structure'!$E$16/Inputs!$C$8</f>
        <v>1.94193887037847</v>
      </c>
      <c r="F17" s="36" t="n">
        <f aca="false">'Optimal Structure'!$F$16/Inputs!$C$8</f>
        <v>2.9129083055677</v>
      </c>
      <c r="G17" s="36" t="n">
        <f aca="false">'Optimal Structure'!$G$16/Inputs!$C$8</f>
        <v>3.88387774075693</v>
      </c>
      <c r="H17" s="36" t="n">
        <f aca="false">'Optimal Structure'!$H$16/Inputs!$C$8</f>
        <v>4.85484717594617</v>
      </c>
    </row>
    <row r="18" customFormat="false" ht="15" hidden="false" customHeight="false" outlineLevel="0" collapsed="false">
      <c r="B18" s="20" t="s">
        <v>172</v>
      </c>
      <c r="C18" s="38" t="str">
        <f aca="false">IF('Optimal Structure'!$C$17&lt;=Inputs!$C$44,"AA",IF('Optimal Structure'!$C$17&lt;=Inputs!$D$44,"A",IF('Optimal Structure'!$C$17&lt;=Inputs!$E$44,"BBB",IF('Optimal Structure'!$C$17&lt;=Inputs!$F$44,"BB","B"))))</f>
        <v>AA</v>
      </c>
      <c r="D18" s="38" t="str">
        <f aca="false">IF('Optimal Structure'!$D$17&lt;=Inputs!$C$44,"AA",IF('Optimal Structure'!$D$17&lt;=Inputs!$D$44,"A",IF('Optimal Structure'!$D$17&lt;=Inputs!$E$44,"BBB",IF('Optimal Structure'!$D$17&lt;=Inputs!$F$44,"BB","B"))))</f>
        <v>AA</v>
      </c>
      <c r="E18" s="38" t="str">
        <f aca="false">IF('Optimal Structure'!$E$17&lt;=Inputs!$C$44,"AA",IF('Optimal Structure'!$E$17&lt;=Inputs!$D$44,"A",IF('Optimal Structure'!$E$17&lt;=Inputs!$E$44,"BBB",IF('Optimal Structure'!$E$17&lt;=Inputs!$F$44,"BB","B"))))</f>
        <v>BBB</v>
      </c>
      <c r="F18" s="38" t="str">
        <f aca="false">IF('Optimal Structure'!$F$17&lt;=Inputs!$C$44,"AA",IF('Optimal Structure'!$F$17&lt;=Inputs!$D$44,"A",IF('Optimal Structure'!$F$17&lt;=Inputs!$E$44,"BBB",IF('Optimal Structure'!$F$17&lt;=Inputs!$F$44,"BB","B"))))</f>
        <v>BB</v>
      </c>
      <c r="G18" s="38" t="str">
        <f aca="false">IF('Optimal Structure'!$G$17&lt;=Inputs!$C$44,"AA",IF('Optimal Structure'!$G$17&lt;=Inputs!$D$44,"A",IF('Optimal Structure'!$G$17&lt;=Inputs!$E$44,"BBB",IF('Optimal Structure'!$G$17&lt;=Inputs!$F$44,"BB","B"))))</f>
        <v>BB</v>
      </c>
      <c r="H18" s="38" t="str">
        <f aca="false">IF('Optimal Structure'!$H$17&lt;=Inputs!$C$44,"AA",IF('Optimal Structure'!$H$17&lt;=Inputs!$D$44,"A",IF('Optimal Structure'!$H$17&lt;=Inputs!$E$44,"BBB",IF('Optimal Structure'!$H$17&lt;=Inputs!$F$44,"BB","B"))))</f>
        <v>B</v>
      </c>
    </row>
    <row r="19" customFormat="false" ht="15" hidden="false" customHeight="false" outlineLevel="0" collapsed="false">
      <c r="B19" s="20" t="s">
        <v>173</v>
      </c>
      <c r="C19" s="29" t="n">
        <f aca="false">IF('Optimal Structure'!$C$17&lt;=Inputs!$C$44,Inputs!$C$48,IF('Optimal Structure'!$C$17&lt;=Inputs!$D$44,Inputs!$D$48,IF('Optimal Structure'!$C$17&lt;=Inputs!$E$44,Inputs!$E$48,IF('Optimal Structure'!$C$17&lt;=Inputs!$F$44,Inputs!$F$48,Inputs!$G$48))))</f>
        <v>0.0735</v>
      </c>
      <c r="D19" s="29" t="n">
        <f aca="false">IF('Optimal Structure'!$D$17&lt;=Inputs!$C$44,Inputs!$C$48,IF('Optimal Structure'!$D$17&lt;=Inputs!$D$44,Inputs!$D$48,IF('Optimal Structure'!$D$17&lt;=Inputs!$E$44,Inputs!$E$48,IF('Optimal Structure'!$D$17&lt;=Inputs!$F$44,Inputs!$F$48,Inputs!$G$48))))</f>
        <v>0.0735</v>
      </c>
      <c r="E19" s="29" t="n">
        <f aca="false">IF('Optimal Structure'!$E$17&lt;=Inputs!$C$44,Inputs!$C$48,IF('Optimal Structure'!$E$17&lt;=Inputs!$D$44,Inputs!$D$48,IF('Optimal Structure'!$E$17&lt;=Inputs!$E$44,Inputs!$E$48,IF('Optimal Structure'!$E$17&lt;=Inputs!$F$44,Inputs!$F$48,Inputs!$G$48))))</f>
        <v>0.0875</v>
      </c>
      <c r="F19" s="29" t="n">
        <f aca="false">IF('Optimal Structure'!$F$17&lt;=Inputs!$C$44,Inputs!$C$48,IF('Optimal Structure'!$F$17&lt;=Inputs!$D$44,Inputs!$D$48,IF('Optimal Structure'!$F$17&lt;=Inputs!$E$44,Inputs!$E$48,IF('Optimal Structure'!$F$17&lt;=Inputs!$F$44,Inputs!$F$48,Inputs!$G$48))))</f>
        <v>0.1005</v>
      </c>
      <c r="G19" s="29" t="n">
        <f aca="false">IF('Optimal Structure'!$G$17&lt;=Inputs!$C$44,Inputs!$C$48,IF('Optimal Structure'!$G$17&lt;=Inputs!$D$44,Inputs!$D$48,IF('Optimal Structure'!$G$17&lt;=Inputs!$E$44,Inputs!$E$48,IF('Optimal Structure'!$G$17&lt;=Inputs!$F$44,Inputs!$F$48,Inputs!$G$48))))</f>
        <v>0.1005</v>
      </c>
      <c r="H19" s="29" t="n">
        <f aca="false">IF('Optimal Structure'!$H$17&lt;=Inputs!$C$44,Inputs!$C$48,IF('Optimal Structure'!$H$17&lt;=Inputs!$D$44,Inputs!$D$48,IF('Optimal Structure'!$H$17&lt;=Inputs!$E$44,Inputs!$E$48,IF('Optimal Structure'!$H$17&lt;=Inputs!$F$44,Inputs!$F$48,Inputs!$G$48))))</f>
        <v>0.1205</v>
      </c>
    </row>
    <row r="20" customFormat="false" ht="15" hidden="false" customHeight="false" outlineLevel="0" collapsed="false">
      <c r="B20" s="20" t="s">
        <v>174</v>
      </c>
      <c r="C20" s="36" t="str">
        <f aca="false">IF('Optimal Structure'!$C$16&gt;0,Inputs!$C$8/('Optimal Structure'!$C$16*'Optimal Structure'!$C$19),"n/a")</f>
        <v>n/a</v>
      </c>
      <c r="D20" s="36" t="n">
        <f aca="false">IF('Optimal Structure'!$D$16&gt;0,Inputs!$C$8/('Optimal Structure'!$D$16*'Optimal Structure'!$D$19),"n/a")</f>
        <v>14.0122249823643</v>
      </c>
      <c r="E20" s="36" t="n">
        <f aca="false">IF('Optimal Structure'!$E$16&gt;0,Inputs!$C$8/('Optimal Structure'!$E$16*'Optimal Structure'!$E$19),"n/a")</f>
        <v>5.88513449259301</v>
      </c>
      <c r="F20" s="36" t="n">
        <f aca="false">IF('Optimal Structure'!$F$16&gt;0,Inputs!$C$8/('Optimal Structure'!$F$16*'Optimal Structure'!$F$19),"n/a")</f>
        <v>3.41591554296444</v>
      </c>
      <c r="G20" s="36" t="n">
        <f aca="false">IF('Optimal Structure'!$G$16&gt;0,Inputs!$C$8/('Optimal Structure'!$G$16*'Optimal Structure'!$G$19),"n/a")</f>
        <v>2.56193665722333</v>
      </c>
      <c r="H20" s="36" t="n">
        <f aca="false">IF('Optimal Structure'!$H$16&gt;0,Inputs!$C$8/('Optimal Structure'!$H$16*'Optimal Structure'!$H$19),"n/a")</f>
        <v>1.7093751638237</v>
      </c>
    </row>
    <row r="21" customFormat="false" ht="15" hidden="false" customHeight="false" outlineLevel="0" collapsed="false">
      <c r="B21" s="20" t="s">
        <v>175</v>
      </c>
      <c r="C21" s="40" t="n">
        <f aca="false">'Optimal Structure'!$C$7*(1+(1-Inputs!$C$39)*'Optimal Structure'!$C$15)</f>
        <v>0.945846473211753</v>
      </c>
      <c r="D21" s="40" t="n">
        <f aca="false">'Optimal Structure'!$C$7*(1+(1-Inputs!$C$39)*'Optimal Structure'!$D$15)</f>
        <v>1.02448835275668</v>
      </c>
      <c r="E21" s="40" t="n">
        <f aca="false">'Optimal Structure'!$C$7*(1+(1-Inputs!$C$39)*'Optimal Structure'!$E$15)</f>
        <v>1.12279070218784</v>
      </c>
      <c r="F21" s="40" t="n">
        <f aca="false">'Optimal Structure'!$C$7*(1+(1-Inputs!$C$39)*'Optimal Structure'!$F$15)</f>
        <v>1.24917943717076</v>
      </c>
      <c r="G21" s="40" t="n">
        <f aca="false">'Optimal Structure'!$C$7*(1+(1-Inputs!$C$39)*'Optimal Structure'!$G$15)</f>
        <v>1.41769775048132</v>
      </c>
      <c r="H21" s="40" t="n">
        <f aca="false">'Optimal Structure'!$C$7*(1+(1-Inputs!$C$39)*'Optimal Structure'!$H$15)</f>
        <v>1.65362338911611</v>
      </c>
    </row>
    <row r="22" customFormat="false" ht="15" hidden="false" customHeight="false" outlineLevel="0" collapsed="false">
      <c r="B22" s="20" t="s">
        <v>176</v>
      </c>
      <c r="C22" s="29" t="n">
        <f aca="false">Inputs!$C$36+'Optimal Structure'!$C$21*Inputs!$C$37</f>
        <v>0.131709253124823</v>
      </c>
      <c r="D22" s="29" t="n">
        <f aca="false">Inputs!$C$36+'Optimal Structure'!$D$21*Inputs!$C$37</f>
        <v>0.137214184692968</v>
      </c>
      <c r="E22" s="29" t="n">
        <f aca="false">Inputs!$C$36+'Optimal Structure'!$E$21*Inputs!$C$37</f>
        <v>0.144095349153149</v>
      </c>
      <c r="F22" s="29" t="n">
        <f aca="false">Inputs!$C$36+'Optimal Structure'!$F$21*Inputs!$C$37</f>
        <v>0.152942560601953</v>
      </c>
      <c r="G22" s="29" t="n">
        <f aca="false">Inputs!$C$36+'Optimal Structure'!$G$21*Inputs!$C$37</f>
        <v>0.164738842533693</v>
      </c>
      <c r="H22" s="29" t="n">
        <f aca="false">Inputs!$C$36+'Optimal Structure'!$H$21*Inputs!$C$37</f>
        <v>0.181253637238128</v>
      </c>
    </row>
    <row r="23" customFormat="false" ht="15" hidden="false" customHeight="false" outlineLevel="0" collapsed="false">
      <c r="B23" s="27" t="s">
        <v>177</v>
      </c>
      <c r="C23" s="42" t="n">
        <f aca="false">(1-'Optimal Structure'!$C$14)*'Optimal Structure'!$C$22+'Optimal Structure'!$C$14*'Optimal Structure'!$C$19*(1-Inputs!$C$39)</f>
        <v>0.131709253124823</v>
      </c>
      <c r="D23" s="42" t="n">
        <f aca="false">(1-'Optimal Structure'!$D$14)*'Optimal Structure'!$D$22+'Optimal Structure'!$D$14*'Optimal Structure'!$D$19*(1-Inputs!$C$39)</f>
        <v>0.128992771223671</v>
      </c>
      <c r="E23" s="42" t="n">
        <f aca="false">(1-'Optimal Structure'!$E$14)*'Optimal Structure'!$E$22+'Optimal Structure'!$E$14*'Optimal Structure'!$E$19*(1-Inputs!$C$39)</f>
        <v>0.128371529322519</v>
      </c>
      <c r="F23" s="42" t="n">
        <f aca="false">(1-'Optimal Structure'!$F$14)*'Optimal Structure'!$F$22+'Optimal Structure'!$F$14*'Optimal Structure'!$F$19*(1-Inputs!$C$39)</f>
        <v>0.129621037421367</v>
      </c>
      <c r="G23" s="42" t="n">
        <f aca="false">(1-'Optimal Structure'!$G$14)*'Optimal Structure'!$G$22+'Optimal Structure'!$G$14*'Optimal Structure'!$G$19*(1-Inputs!$C$39)</f>
        <v>0.128924965520216</v>
      </c>
      <c r="H23" s="42" t="n">
        <f aca="false">(1-'Optimal Structure'!$H$14)*'Optimal Structure'!$H$22+'Optimal Structure'!$H$14*'Optimal Structure'!$H$19*(1-Inputs!$C$39)</f>
        <v>0.135711893619064</v>
      </c>
    </row>
    <row r="25" customFormat="false" ht="15" hidden="false" customHeight="false" outlineLevel="0" collapsed="false">
      <c r="B25" s="27" t="s">
        <v>178</v>
      </c>
      <c r="C25" s="29" t="n">
        <f aca="false">MIN($C$23:$H$23)</f>
        <v>0.128371529322519</v>
      </c>
    </row>
    <row r="26" customFormat="false" ht="15" hidden="false" customHeight="false" outlineLevel="0" collapsed="false">
      <c r="B26" s="27" t="s">
        <v>179</v>
      </c>
      <c r="C26" s="29" t="n">
        <f aca="false">INDEX($C$14:$H$14,MATCH('Optimal Structure'!$C$25,$C$23:$H$23,0))</f>
        <v>0.2</v>
      </c>
    </row>
    <row r="27" customFormat="false" ht="15" hidden="false" customHeight="false" outlineLevel="0" collapsed="false">
      <c r="B27" s="20" t="s">
        <v>180</v>
      </c>
      <c r="C27" s="37" t="n">
        <f aca="false">('Optimal Structure'!$C$10-'Optimal Structure'!$C$25)*10000</f>
        <v>4.28997788523289</v>
      </c>
    </row>
    <row r="28" customFormat="false" ht="64.15" hidden="false" customHeight="false" outlineLevel="0" collapsed="false">
      <c r="B28" s="20" t="s">
        <v>181</v>
      </c>
      <c r="C28" s="28" t="n">
        <f aca="false">IF('Credit Profile'!$C$22&gt;0,'Credit Profile'!$C$22*1.04*(1/('Optimal Structure'!$C$25-0.04)-1/('Optimal Structure'!$C$10-0.04)),0)</f>
        <v>2720.00564235733</v>
      </c>
      <c r="H28" s="26" t="s">
        <v>182</v>
      </c>
    </row>
    <row r="29" customFormat="false" ht="43.5" hidden="false" customHeight="true" outlineLevel="0" collapsed="false">
      <c r="B29" s="19" t="s">
        <v>183</v>
      </c>
      <c r="C29" s="19"/>
      <c r="D29" s="19"/>
      <c r="E29" s="19"/>
      <c r="F29" s="19"/>
      <c r="G29" s="19"/>
      <c r="H29" s="19"/>
    </row>
  </sheetData>
  <mergeCells count="1">
    <mergeCell ref="B29:H29"/>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Structure&amp;R&amp;"Arial,Regular"&amp;8Optimal Structure</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8"/>
    <col collapsed="false" customWidth="true" hidden="false" outlineLevel="0" max="5" min="3" style="0" width="15"/>
    <col collapsed="false" customWidth="true" hidden="false" outlineLevel="0" max="6" min="6" style="0" width="60"/>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184</v>
      </c>
      <c r="C2" s="1"/>
      <c r="D2" s="1"/>
      <c r="E2" s="1"/>
      <c r="F2" s="1"/>
    </row>
    <row r="4" customFormat="false" ht="15.75" hidden="false" customHeight="true" outlineLevel="0" collapsed="false">
      <c r="B4" s="24" t="s">
        <v>185</v>
      </c>
      <c r="C4" s="1"/>
      <c r="D4" s="1"/>
      <c r="E4" s="1"/>
      <c r="F4" s="1"/>
    </row>
    <row r="5" customFormat="false" ht="15" hidden="false" customHeight="false" outlineLevel="0" collapsed="false">
      <c r="B5" s="20" t="s">
        <v>186</v>
      </c>
      <c r="C5" s="34" t="n">
        <f aca="false">Inputs!$C$22</f>
        <v>249704</v>
      </c>
    </row>
    <row r="6" customFormat="false" ht="22.35" hidden="false" customHeight="false" outlineLevel="0" collapsed="false">
      <c r="B6" s="20" t="s">
        <v>187</v>
      </c>
      <c r="C6" s="31" t="n">
        <v>0.06</v>
      </c>
      <c r="F6" s="26" t="s">
        <v>188</v>
      </c>
    </row>
    <row r="7" customFormat="false" ht="15" hidden="false" customHeight="false" outlineLevel="0" collapsed="false">
      <c r="B7" s="20" t="s">
        <v>189</v>
      </c>
      <c r="C7" s="28" t="n">
        <f aca="false">Inputs!$C$16*(1+Liquidity!$C$6)</f>
        <v>203639.78</v>
      </c>
    </row>
    <row r="8" customFormat="false" ht="15" hidden="false" customHeight="false" outlineLevel="0" collapsed="false">
      <c r="B8" s="27" t="s">
        <v>190</v>
      </c>
      <c r="C8" s="43" t="n">
        <f aca="false">Liquidity!$C$5+Liquidity!$C$7</f>
        <v>453343.78</v>
      </c>
    </row>
    <row r="10" customFormat="false" ht="15.75" hidden="false" customHeight="true" outlineLevel="0" collapsed="false">
      <c r="B10" s="24" t="s">
        <v>191</v>
      </c>
      <c r="C10" s="1"/>
      <c r="D10" s="1"/>
      <c r="E10" s="1"/>
      <c r="F10" s="1"/>
    </row>
    <row r="11" customFormat="false" ht="22.35" hidden="false" customHeight="false" outlineLevel="0" collapsed="false">
      <c r="B11" s="20" t="s">
        <v>67</v>
      </c>
      <c r="C11" s="34" t="n">
        <f aca="false">Inputs!$C$27</f>
        <v>103670</v>
      </c>
      <c r="F11" s="26" t="s">
        <v>192</v>
      </c>
    </row>
    <row r="12" customFormat="false" ht="15" hidden="false" customHeight="false" outlineLevel="0" collapsed="false">
      <c r="B12" s="20" t="s">
        <v>193</v>
      </c>
      <c r="C12" s="31" t="n">
        <v>1</v>
      </c>
      <c r="F12" s="26" t="s">
        <v>194</v>
      </c>
    </row>
    <row r="13" customFormat="false" ht="15" hidden="false" customHeight="false" outlineLevel="0" collapsed="false">
      <c r="B13" s="20" t="s">
        <v>195</v>
      </c>
      <c r="C13" s="28" t="n">
        <f aca="false">Inputs!$C$17*Liquidity!$C$12</f>
        <v>144271</v>
      </c>
    </row>
    <row r="14" customFormat="false" ht="15" hidden="false" customHeight="false" outlineLevel="0" collapsed="false">
      <c r="B14" s="20" t="s">
        <v>196</v>
      </c>
      <c r="C14" s="34" t="n">
        <f aca="false">Inputs!$C$12</f>
        <v>39981</v>
      </c>
    </row>
    <row r="15" customFormat="false" ht="15" hidden="false" customHeight="false" outlineLevel="0" collapsed="false">
      <c r="B15" s="20" t="s">
        <v>197</v>
      </c>
      <c r="C15" s="28" t="n">
        <f aca="false">Inputs!$C$33*Inputs!$C$31</f>
        <v>8119.5</v>
      </c>
    </row>
    <row r="16" customFormat="false" ht="15" hidden="false" customHeight="false" outlineLevel="0" collapsed="false">
      <c r="B16" s="20" t="s">
        <v>198</v>
      </c>
      <c r="C16" s="25" t="n">
        <v>4736</v>
      </c>
      <c r="F16" s="26" t="s">
        <v>199</v>
      </c>
    </row>
    <row r="17" customFormat="false" ht="15" hidden="false" customHeight="false" outlineLevel="0" collapsed="false">
      <c r="B17" s="27" t="s">
        <v>200</v>
      </c>
      <c r="C17" s="43" t="n">
        <f aca="false">Liquidity!$C$11+Liquidity!$C$13+Liquidity!$C$14+Liquidity!$C$15+Liquidity!$C$16</f>
        <v>300777.5</v>
      </c>
    </row>
    <row r="19" customFormat="false" ht="15" hidden="false" customHeight="false" outlineLevel="0" collapsed="false">
      <c r="B19" s="27" t="s">
        <v>201</v>
      </c>
      <c r="C19" s="44" t="n">
        <f aca="false">Liquidity!$C$8/Liquidity!$C$17</f>
        <v>1.50723967052057</v>
      </c>
    </row>
    <row r="20" customFormat="false" ht="15" hidden="false" customHeight="false" outlineLevel="0" collapsed="false">
      <c r="B20" s="27" t="s">
        <v>202</v>
      </c>
      <c r="C20" s="36" t="n">
        <f aca="false">Liquidity!$C$8/(Liquidity!$C$17-Liquidity!$C$11)</f>
        <v>2.29998239539338</v>
      </c>
    </row>
    <row r="21" customFormat="false" ht="15" hidden="false" customHeight="false" outlineLevel="0" collapsed="false">
      <c r="B21" s="20" t="s">
        <v>203</v>
      </c>
      <c r="C21" s="28" t="n">
        <f aca="false">Liquidity!$C$8-Liquidity!$C$17</f>
        <v>152566.28</v>
      </c>
    </row>
    <row r="22" customFormat="false" ht="15" hidden="false" customHeight="false" outlineLevel="0" collapsed="false">
      <c r="B22" s="20" t="s">
        <v>204</v>
      </c>
      <c r="C22" s="25" t="n">
        <v>40000</v>
      </c>
    </row>
    <row r="23" customFormat="false" ht="15" hidden="false" customHeight="false" outlineLevel="0" collapsed="false">
      <c r="B23" s="27" t="s">
        <v>205</v>
      </c>
      <c r="C23" s="28" t="n">
        <f aca="false">Liquidity!$C$21-Liquidity!$C$22</f>
        <v>112566.28</v>
      </c>
    </row>
    <row r="24" customFormat="false" ht="39.75" hidden="false" customHeight="true" outlineLevel="0" collapsed="false">
      <c r="B24" s="19" t="s">
        <v>206</v>
      </c>
      <c r="C24" s="19"/>
      <c r="D24" s="19"/>
      <c r="E24" s="19"/>
      <c r="F24" s="19"/>
    </row>
  </sheetData>
  <mergeCells count="1">
    <mergeCell ref="B24:F2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Structure&amp;R&amp;"Arial,Regular"&amp;8Liquidity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3.5"/>
  </cols>
  <sheetData>
    <row r="1" customFormat="false" ht="30" hidden="false" customHeight="true" outlineLevel="0" collapsed="false">
      <c r="A1" s="1"/>
      <c r="B1" s="21" t="s">
        <v>39</v>
      </c>
      <c r="C1" s="1"/>
      <c r="D1" s="1"/>
      <c r="E1" s="1"/>
      <c r="F1" s="1"/>
      <c r="G1" s="1"/>
      <c r="H1" s="22" t="s">
        <v>40</v>
      </c>
    </row>
    <row r="2" customFormat="false" ht="18" hidden="false" customHeight="true" outlineLevel="0" collapsed="false">
      <c r="A2" s="1"/>
      <c r="B2" s="23" t="s">
        <v>207</v>
      </c>
      <c r="C2" s="1"/>
      <c r="D2" s="1"/>
      <c r="E2" s="1"/>
      <c r="F2" s="1"/>
      <c r="G2" s="1"/>
      <c r="H2" s="1"/>
    </row>
    <row r="4" customFormat="false" ht="15.75" hidden="false" customHeight="true" outlineLevel="0" collapsed="false">
      <c r="B4" s="24" t="s">
        <v>208</v>
      </c>
      <c r="C4" s="1"/>
      <c r="D4" s="1"/>
      <c r="E4" s="1"/>
      <c r="F4" s="1"/>
      <c r="G4" s="1"/>
      <c r="H4" s="1"/>
    </row>
    <row r="5" customFormat="false" ht="15" hidden="false" customHeight="false" outlineLevel="0" collapsed="false">
      <c r="B5" s="27" t="s">
        <v>209</v>
      </c>
      <c r="C5" s="45" t="n">
        <v>-0.2</v>
      </c>
      <c r="D5" s="45" t="n">
        <v>-0.1</v>
      </c>
      <c r="E5" s="45" t="n">
        <v>0</v>
      </c>
      <c r="F5" s="45" t="n">
        <v>0.1</v>
      </c>
      <c r="G5" s="45" t="n">
        <v>0.2</v>
      </c>
    </row>
    <row r="6" customFormat="false" ht="15" hidden="false" customHeight="false" outlineLevel="0" collapsed="false">
      <c r="B6" s="46" t="n">
        <v>1.25</v>
      </c>
      <c r="C6" s="28" t="n">
        <f aca="false">MIN((Inputs!$C$8*(1+C$5))*$B6,(Inputs!$C$8*(1+C$5))/(Inputs!$D$45*Inputs!$D$48),((Inputs!$C$8*(1+C$5))-Inputs!$C$12-Inputs!$C$14)/Inputs!$D$46)-'Credit Profile'!$C$8</f>
        <v>-48861</v>
      </c>
      <c r="D6" s="28" t="n">
        <f aca="false">MIN((Inputs!$C$8*(1+D$5))*$B6,(Inputs!$C$8*(1+D$5))/(Inputs!$D$45*Inputs!$D$48),((Inputs!$C$8*(1+D$5))-Inputs!$C$12-Inputs!$C$14)/Inputs!$D$46)-'Credit Profile'!$C$8</f>
        <v>-23987.625</v>
      </c>
      <c r="E6" s="28" t="n">
        <f aca="false">MIN((Inputs!$C$8*(1+E$5))*$B6,(Inputs!$C$8*(1+E$5))/(Inputs!$D$45*Inputs!$D$48),((Inputs!$C$8*(1+E$5))-Inputs!$C$12-Inputs!$C$14)/Inputs!$D$46)-'Credit Profile'!$C$8</f>
        <v>885.75</v>
      </c>
      <c r="F6" s="28" t="n">
        <f aca="false">MIN((Inputs!$C$8*(1+F$5))*$B6,(Inputs!$C$8*(1+F$5))/(Inputs!$D$45*Inputs!$D$48),((Inputs!$C$8*(1+F$5))-Inputs!$C$12-Inputs!$C$14)/Inputs!$D$46)-'Credit Profile'!$C$8</f>
        <v>25759.125</v>
      </c>
      <c r="G6" s="28" t="n">
        <f aca="false">MIN((Inputs!$C$8*(1+G$5))*$B6,(Inputs!$C$8*(1+G$5))/(Inputs!$D$45*Inputs!$D$48),((Inputs!$C$8*(1+G$5))-Inputs!$C$12-Inputs!$C$14)/Inputs!$D$46)-'Credit Profile'!$C$8</f>
        <v>50632.5</v>
      </c>
    </row>
    <row r="7" customFormat="false" ht="15" hidden="false" customHeight="false" outlineLevel="0" collapsed="false">
      <c r="B7" s="46" t="n">
        <v>1.5</v>
      </c>
      <c r="C7" s="28" t="n">
        <f aca="false">MIN((Inputs!$C$8*(1+C$5))*$B7,(Inputs!$C$8*(1+C$5))/(Inputs!$D$45*Inputs!$D$48),((Inputs!$C$8*(1+C$5))-Inputs!$C$12-Inputs!$C$14)/Inputs!$D$46)-'Credit Profile'!$C$8</f>
        <v>-44166.6666666667</v>
      </c>
      <c r="D7" s="28" t="n">
        <f aca="false">MIN((Inputs!$C$8*(1+D$5))*$B7,(Inputs!$C$8*(1+D$5))/(Inputs!$D$45*Inputs!$D$48),((Inputs!$C$8*(1+D$5))-Inputs!$C$12-Inputs!$C$14)/Inputs!$D$46)-'Credit Profile'!$C$8</f>
        <v>52.6666666666861</v>
      </c>
      <c r="E7" s="28" t="n">
        <f aca="false">MIN((Inputs!$C$8*(1+E$5))*$B7,(Inputs!$C$8*(1+E$5))/(Inputs!$D$45*Inputs!$D$48),((Inputs!$C$8*(1+E$5))-Inputs!$C$12-Inputs!$C$14)/Inputs!$D$46)-'Credit Profile'!$C$8</f>
        <v>44272</v>
      </c>
      <c r="F7" s="28" t="n">
        <f aca="false">MIN((Inputs!$C$8*(1+F$5))*$B7,(Inputs!$C$8*(1+F$5))/(Inputs!$D$45*Inputs!$D$48),((Inputs!$C$8*(1+F$5))-Inputs!$C$12-Inputs!$C$14)/Inputs!$D$46)-'Credit Profile'!$C$8</f>
        <v>80480.5500000001</v>
      </c>
      <c r="G7" s="28" t="n">
        <f aca="false">MIN((Inputs!$C$8*(1+G$5))*$B7,(Inputs!$C$8*(1+G$5))/(Inputs!$D$45*Inputs!$D$48),((Inputs!$C$8*(1+G$5))-Inputs!$C$12-Inputs!$C$14)/Inputs!$D$46)-'Credit Profile'!$C$8</f>
        <v>110328.6</v>
      </c>
    </row>
    <row r="8" customFormat="false" ht="15" hidden="false" customHeight="false" outlineLevel="0" collapsed="false">
      <c r="B8" s="46" t="n">
        <v>1.75</v>
      </c>
      <c r="C8" s="28" t="n">
        <f aca="false">MIN((Inputs!$C$8*(1+C$5))*$B8,(Inputs!$C$8*(1+C$5))/(Inputs!$D$45*Inputs!$D$48),((Inputs!$C$8*(1+C$5))-Inputs!$C$12-Inputs!$C$14)/Inputs!$D$46)-'Credit Profile'!$C$8</f>
        <v>-44166.6666666667</v>
      </c>
      <c r="D8" s="28" t="n">
        <f aca="false">MIN((Inputs!$C$8*(1+D$5))*$B8,(Inputs!$C$8*(1+D$5))/(Inputs!$D$45*Inputs!$D$48),((Inputs!$C$8*(1+D$5))-Inputs!$C$12-Inputs!$C$14)/Inputs!$D$46)-'Credit Profile'!$C$8</f>
        <v>52.6666666666861</v>
      </c>
      <c r="E8" s="47" t="n">
        <f aca="false">MIN((Inputs!$C$8*(1+E$5))*$B8,(Inputs!$C$8*(1+E$5))/(Inputs!$D$45*Inputs!$D$48),((Inputs!$C$8*(1+E$5))-Inputs!$C$12-Inputs!$C$14)/Inputs!$D$46)-'Credit Profile'!$C$8</f>
        <v>44272</v>
      </c>
      <c r="F8" s="28" t="n">
        <f aca="false">MIN((Inputs!$C$8*(1+F$5))*$B8,(Inputs!$C$8*(1+F$5))/(Inputs!$D$45*Inputs!$D$48),((Inputs!$C$8*(1+F$5))-Inputs!$C$12-Inputs!$C$14)/Inputs!$D$46)-'Credit Profile'!$C$8</f>
        <v>88491.3333333334</v>
      </c>
      <c r="G8" s="28" t="n">
        <f aca="false">MIN((Inputs!$C$8*(1+G$5))*$B8,(Inputs!$C$8*(1+G$5))/(Inputs!$D$45*Inputs!$D$48),((Inputs!$C$8*(1+G$5))-Inputs!$C$12-Inputs!$C$14)/Inputs!$D$46)-'Credit Profile'!$C$8</f>
        <v>127599.169811321</v>
      </c>
    </row>
    <row r="9" customFormat="false" ht="15" hidden="false" customHeight="false" outlineLevel="0" collapsed="false">
      <c r="B9" s="46" t="n">
        <v>2</v>
      </c>
      <c r="C9" s="28" t="n">
        <f aca="false">MIN((Inputs!$C$8*(1+C$5))*$B9,(Inputs!$C$8*(1+C$5))/(Inputs!$D$45*Inputs!$D$48),((Inputs!$C$8*(1+C$5))-Inputs!$C$12-Inputs!$C$14)/Inputs!$D$46)-'Credit Profile'!$C$8</f>
        <v>-44166.6666666667</v>
      </c>
      <c r="D9" s="28" t="n">
        <f aca="false">MIN((Inputs!$C$8*(1+D$5))*$B9,(Inputs!$C$8*(1+D$5))/(Inputs!$D$45*Inputs!$D$48),((Inputs!$C$8*(1+D$5))-Inputs!$C$12-Inputs!$C$14)/Inputs!$D$46)-'Credit Profile'!$C$8</f>
        <v>52.6666666666861</v>
      </c>
      <c r="E9" s="28" t="n">
        <f aca="false">MIN((Inputs!$C$8*(1+E$5))*$B9,(Inputs!$C$8*(1+E$5))/(Inputs!$D$45*Inputs!$D$48),((Inputs!$C$8*(1+E$5))-Inputs!$C$12-Inputs!$C$14)/Inputs!$D$46)-'Credit Profile'!$C$8</f>
        <v>44272</v>
      </c>
      <c r="F9" s="28" t="n">
        <f aca="false">MIN((Inputs!$C$8*(1+F$5))*$B9,(Inputs!$C$8*(1+F$5))/(Inputs!$D$45*Inputs!$D$48),((Inputs!$C$8*(1+F$5))-Inputs!$C$12-Inputs!$C$14)/Inputs!$D$46)-'Credit Profile'!$C$8</f>
        <v>88491.3333333334</v>
      </c>
      <c r="G9" s="28" t="n">
        <f aca="false">MIN((Inputs!$C$8*(1+G$5))*$B9,(Inputs!$C$8*(1+G$5))/(Inputs!$D$45*Inputs!$D$48),((Inputs!$C$8*(1+G$5))-Inputs!$C$12-Inputs!$C$14)/Inputs!$D$46)-'Credit Profile'!$C$8</f>
        <v>127599.169811321</v>
      </c>
    </row>
    <row r="10" customFormat="false" ht="15" hidden="false" customHeight="false" outlineLevel="0" collapsed="false">
      <c r="B10" s="46" t="n">
        <v>2.25</v>
      </c>
      <c r="C10" s="28" t="n">
        <f aca="false">MIN((Inputs!$C$8*(1+C$5))*$B10,(Inputs!$C$8*(1+C$5))/(Inputs!$D$45*Inputs!$D$48),((Inputs!$C$8*(1+C$5))-Inputs!$C$12-Inputs!$C$14)/Inputs!$D$46)-'Credit Profile'!$C$8</f>
        <v>-44166.6666666667</v>
      </c>
      <c r="D10" s="28" t="n">
        <f aca="false">MIN((Inputs!$C$8*(1+D$5))*$B10,(Inputs!$C$8*(1+D$5))/(Inputs!$D$45*Inputs!$D$48),((Inputs!$C$8*(1+D$5))-Inputs!$C$12-Inputs!$C$14)/Inputs!$D$46)-'Credit Profile'!$C$8</f>
        <v>52.6666666666861</v>
      </c>
      <c r="E10" s="28" t="n">
        <f aca="false">MIN((Inputs!$C$8*(1+E$5))*$B10,(Inputs!$C$8*(1+E$5))/(Inputs!$D$45*Inputs!$D$48),((Inputs!$C$8*(1+E$5))-Inputs!$C$12-Inputs!$C$14)/Inputs!$D$46)-'Credit Profile'!$C$8</f>
        <v>44272</v>
      </c>
      <c r="F10" s="28" t="n">
        <f aca="false">MIN((Inputs!$C$8*(1+F$5))*$B10,(Inputs!$C$8*(1+F$5))/(Inputs!$D$45*Inputs!$D$48),((Inputs!$C$8*(1+F$5))-Inputs!$C$12-Inputs!$C$14)/Inputs!$D$46)-'Credit Profile'!$C$8</f>
        <v>88491.3333333334</v>
      </c>
      <c r="G10" s="28" t="n">
        <f aca="false">MIN((Inputs!$C$8*(1+G$5))*$B10,(Inputs!$C$8*(1+G$5))/(Inputs!$D$45*Inputs!$D$48),((Inputs!$C$8*(1+G$5))-Inputs!$C$12-Inputs!$C$14)/Inputs!$D$46)-'Credit Profile'!$C$8</f>
        <v>127599.169811321</v>
      </c>
    </row>
    <row r="12" customFormat="false" ht="15.75" hidden="false" customHeight="true" outlineLevel="0" collapsed="false">
      <c r="B12" s="24" t="s">
        <v>210</v>
      </c>
      <c r="C12" s="1"/>
      <c r="D12" s="1"/>
      <c r="E12" s="1"/>
      <c r="F12" s="1"/>
      <c r="G12" s="1"/>
      <c r="H12" s="1"/>
    </row>
    <row r="13" customFormat="false" ht="15" hidden="false" customHeight="false" outlineLevel="0" collapsed="false">
      <c r="B13" s="27" t="s">
        <v>211</v>
      </c>
      <c r="C13" s="48" t="n">
        <v>0.06</v>
      </c>
      <c r="D13" s="48" t="n">
        <v>0.065</v>
      </c>
      <c r="E13" s="48" t="n">
        <v>0.07</v>
      </c>
      <c r="F13" s="48" t="n">
        <v>0.075</v>
      </c>
      <c r="G13" s="48" t="n">
        <v>0.08</v>
      </c>
    </row>
    <row r="14" customFormat="false" ht="15" hidden="false" customHeight="false" outlineLevel="0" collapsed="false">
      <c r="B14" s="49" t="n">
        <v>0.1</v>
      </c>
      <c r="C14" s="50" t="n">
        <f aca="false">(1-$B14)*(Inputs!$C$36+('Optimal Structure'!$C$7*(1+(1-Inputs!$C$39)*($B14/(1-$B14))))*C$13)+$B14*IF(($B14*(Inputs!$C$32+'Credit Profile'!$C$8)/Inputs!$C$8)&lt;=Inputs!$C$44,Inputs!$C$48,IF(($B14*(Inputs!$C$32+'Credit Profile'!$C$8)/Inputs!$C$8)&lt;=Inputs!$D$44,Inputs!$D$48,IF(($B14*(Inputs!$C$32+'Credit Profile'!$C$8)/Inputs!$C$8)&lt;=Inputs!$E$44,Inputs!$E$48,IF(($B14*(Inputs!$C$32+'Credit Profile'!$C$8)/Inputs!$C$8)&lt;=Inputs!$F$44,Inputs!$F$48,Inputs!$G$48))))*(1-Inputs!$C$39)</f>
        <v>0.119772376048861</v>
      </c>
      <c r="D14" s="50" t="n">
        <f aca="false">(1-$B14)*(Inputs!$C$36+('Optimal Structure'!$C$7*(1+(1-Inputs!$C$39)*($B14/(1-$B14))))*D$13)+$B14*IF(($B14*(Inputs!$C$32+'Credit Profile'!$C$8)/Inputs!$C$8)&lt;=Inputs!$C$44,Inputs!$C$48,IF(($B14*(Inputs!$C$32+'Credit Profile'!$C$8)/Inputs!$C$8)&lt;=Inputs!$D$44,Inputs!$D$48,IF(($B14*(Inputs!$C$32+'Credit Profile'!$C$8)/Inputs!$C$8)&lt;=Inputs!$E$44,Inputs!$E$48,IF(($B14*(Inputs!$C$32+'Credit Profile'!$C$8)/Inputs!$C$8)&lt;=Inputs!$F$44,Inputs!$F$48,Inputs!$G$48))))*(1-Inputs!$C$39)</f>
        <v>0.124382573636266</v>
      </c>
      <c r="E14" s="51" t="n">
        <f aca="false">(1-$B14)*(Inputs!$C$36+('Optimal Structure'!$C$7*(1+(1-Inputs!$C$39)*($B14/(1-$B14))))*E$13)+$B14*IF(($B14*(Inputs!$C$32+'Credit Profile'!$C$8)/Inputs!$C$8)&lt;=Inputs!$C$44,Inputs!$C$48,IF(($B14*(Inputs!$C$32+'Credit Profile'!$C$8)/Inputs!$C$8)&lt;=Inputs!$D$44,Inputs!$D$48,IF(($B14*(Inputs!$C$32+'Credit Profile'!$C$8)/Inputs!$C$8)&lt;=Inputs!$E$44,Inputs!$E$48,IF(($B14*(Inputs!$C$32+'Credit Profile'!$C$8)/Inputs!$C$8)&lt;=Inputs!$F$44,Inputs!$F$48,Inputs!$G$48))))*(1-Inputs!$C$39)</f>
        <v>0.128992771223671</v>
      </c>
      <c r="F14" s="50" t="n">
        <f aca="false">(1-$B14)*(Inputs!$C$36+('Optimal Structure'!$C$7*(1+(1-Inputs!$C$39)*($B14/(1-$B14))))*F$13)+$B14*IF(($B14*(Inputs!$C$32+'Credit Profile'!$C$8)/Inputs!$C$8)&lt;=Inputs!$C$44,Inputs!$C$48,IF(($B14*(Inputs!$C$32+'Credit Profile'!$C$8)/Inputs!$C$8)&lt;=Inputs!$D$44,Inputs!$D$48,IF(($B14*(Inputs!$C$32+'Credit Profile'!$C$8)/Inputs!$C$8)&lt;=Inputs!$E$44,Inputs!$E$48,IF(($B14*(Inputs!$C$32+'Credit Profile'!$C$8)/Inputs!$C$8)&lt;=Inputs!$F$44,Inputs!$F$48,Inputs!$G$48))))*(1-Inputs!$C$39)</f>
        <v>0.133602968811076</v>
      </c>
      <c r="G14" s="50" t="n">
        <f aca="false">(1-$B14)*(Inputs!$C$36+('Optimal Structure'!$C$7*(1+(1-Inputs!$C$39)*($B14/(1-$B14))))*G$13)+$B14*IF(($B14*(Inputs!$C$32+'Credit Profile'!$C$8)/Inputs!$C$8)&lt;=Inputs!$C$44,Inputs!$C$48,IF(($B14*(Inputs!$C$32+'Credit Profile'!$C$8)/Inputs!$C$8)&lt;=Inputs!$D$44,Inputs!$D$48,IF(($B14*(Inputs!$C$32+'Credit Profile'!$C$8)/Inputs!$C$8)&lt;=Inputs!$E$44,Inputs!$E$48,IF(($B14*(Inputs!$C$32+'Credit Profile'!$C$8)/Inputs!$C$8)&lt;=Inputs!$F$44,Inputs!$F$48,Inputs!$G$48))))*(1-Inputs!$C$39)</f>
        <v>0.138213166398481</v>
      </c>
    </row>
    <row r="15" customFormat="false" ht="15" hidden="false" customHeight="false" outlineLevel="0" collapsed="false">
      <c r="B15" s="49" t="n">
        <v>0.2</v>
      </c>
      <c r="C15" s="50" t="n">
        <f aca="false">(1-$B15)*(Inputs!$C$36+('Optimal Structure'!$C$7*(1+(1-Inputs!$C$39)*($B15/(1-$B15))))*C$13)+$B15*IF(($B15*(Inputs!$C$32+'Credit Profile'!$C$8)/Inputs!$C$8)&lt;=Inputs!$C$44,Inputs!$C$48,IF(($B15*(Inputs!$C$32+'Credit Profile'!$C$8)/Inputs!$C$8)&lt;=Inputs!$D$44,Inputs!$D$48,IF(($B15*(Inputs!$C$32+'Credit Profile'!$C$8)/Inputs!$C$8)&lt;=Inputs!$E$44,Inputs!$E$48,IF(($B15*(Inputs!$C$32+'Credit Profile'!$C$8)/Inputs!$C$8)&lt;=Inputs!$F$44,Inputs!$F$48,Inputs!$G$48))))*(1-Inputs!$C$39)</f>
        <v>0.119389203705016</v>
      </c>
      <c r="D15" s="50" t="n">
        <f aca="false">(1-$B15)*(Inputs!$C$36+('Optimal Structure'!$C$7*(1+(1-Inputs!$C$39)*($B15/(1-$B15))))*D$13)+$B15*IF(($B15*(Inputs!$C$32+'Credit Profile'!$C$8)/Inputs!$C$8)&lt;=Inputs!$C$44,Inputs!$C$48,IF(($B15*(Inputs!$C$32+'Credit Profile'!$C$8)/Inputs!$C$8)&lt;=Inputs!$D$44,Inputs!$D$48,IF(($B15*(Inputs!$C$32+'Credit Profile'!$C$8)/Inputs!$C$8)&lt;=Inputs!$E$44,Inputs!$E$48,IF(($B15*(Inputs!$C$32+'Credit Profile'!$C$8)/Inputs!$C$8)&lt;=Inputs!$F$44,Inputs!$F$48,Inputs!$G$48))))*(1-Inputs!$C$39)</f>
        <v>0.123880366513768</v>
      </c>
      <c r="E15" s="50" t="n">
        <f aca="false">(1-$B15)*(Inputs!$C$36+('Optimal Structure'!$C$7*(1+(1-Inputs!$C$39)*($B15/(1-$B15))))*E$13)+$B15*IF(($B15*(Inputs!$C$32+'Credit Profile'!$C$8)/Inputs!$C$8)&lt;=Inputs!$C$44,Inputs!$C$48,IF(($B15*(Inputs!$C$32+'Credit Profile'!$C$8)/Inputs!$C$8)&lt;=Inputs!$D$44,Inputs!$D$48,IF(($B15*(Inputs!$C$32+'Credit Profile'!$C$8)/Inputs!$C$8)&lt;=Inputs!$E$44,Inputs!$E$48,IF(($B15*(Inputs!$C$32+'Credit Profile'!$C$8)/Inputs!$C$8)&lt;=Inputs!$F$44,Inputs!$F$48,Inputs!$G$48))))*(1-Inputs!$C$39)</f>
        <v>0.128371529322519</v>
      </c>
      <c r="F15" s="50" t="n">
        <f aca="false">(1-$B15)*(Inputs!$C$36+('Optimal Structure'!$C$7*(1+(1-Inputs!$C$39)*($B15/(1-$B15))))*F$13)+$B15*IF(($B15*(Inputs!$C$32+'Credit Profile'!$C$8)/Inputs!$C$8)&lt;=Inputs!$C$44,Inputs!$C$48,IF(($B15*(Inputs!$C$32+'Credit Profile'!$C$8)/Inputs!$C$8)&lt;=Inputs!$D$44,Inputs!$D$48,IF(($B15*(Inputs!$C$32+'Credit Profile'!$C$8)/Inputs!$C$8)&lt;=Inputs!$E$44,Inputs!$E$48,IF(($B15*(Inputs!$C$32+'Credit Profile'!$C$8)/Inputs!$C$8)&lt;=Inputs!$F$44,Inputs!$F$48,Inputs!$G$48))))*(1-Inputs!$C$39)</f>
        <v>0.132862692131271</v>
      </c>
      <c r="G15" s="50" t="n">
        <f aca="false">(1-$B15)*(Inputs!$C$36+('Optimal Structure'!$C$7*(1+(1-Inputs!$C$39)*($B15/(1-$B15))))*G$13)+$B15*IF(($B15*(Inputs!$C$32+'Credit Profile'!$C$8)/Inputs!$C$8)&lt;=Inputs!$C$44,Inputs!$C$48,IF(($B15*(Inputs!$C$32+'Credit Profile'!$C$8)/Inputs!$C$8)&lt;=Inputs!$D$44,Inputs!$D$48,IF(($B15*(Inputs!$C$32+'Credit Profile'!$C$8)/Inputs!$C$8)&lt;=Inputs!$E$44,Inputs!$E$48,IF(($B15*(Inputs!$C$32+'Credit Profile'!$C$8)/Inputs!$C$8)&lt;=Inputs!$F$44,Inputs!$F$48,Inputs!$G$48))))*(1-Inputs!$C$39)</f>
        <v>0.137353854940022</v>
      </c>
    </row>
    <row r="16" customFormat="false" ht="15" hidden="false" customHeight="false" outlineLevel="0" collapsed="false">
      <c r="B16" s="49" t="n">
        <v>0.3</v>
      </c>
      <c r="C16" s="50" t="n">
        <f aca="false">(1-$B16)*(Inputs!$C$36+('Optimal Structure'!$C$7*(1+(1-Inputs!$C$39)*($B16/(1-$B16))))*C$13)+$B16*IF(($B16*(Inputs!$C$32+'Credit Profile'!$C$8)/Inputs!$C$8)&lt;=Inputs!$C$44,Inputs!$C$48,IF(($B16*(Inputs!$C$32+'Credit Profile'!$C$8)/Inputs!$C$8)&lt;=Inputs!$D$44,Inputs!$D$48,IF(($B16*(Inputs!$C$32+'Credit Profile'!$C$8)/Inputs!$C$8)&lt;=Inputs!$E$44,Inputs!$E$48,IF(($B16*(Inputs!$C$32+'Credit Profile'!$C$8)/Inputs!$C$8)&lt;=Inputs!$F$44,Inputs!$F$48,Inputs!$G$48))))*(1-Inputs!$C$39)</f>
        <v>0.120876781361172</v>
      </c>
      <c r="D16" s="50" t="n">
        <f aca="false">(1-$B16)*(Inputs!$C$36+('Optimal Structure'!$C$7*(1+(1-Inputs!$C$39)*($B16/(1-$B16))))*D$13)+$B16*IF(($B16*(Inputs!$C$32+'Credit Profile'!$C$8)/Inputs!$C$8)&lt;=Inputs!$C$44,Inputs!$C$48,IF(($B16*(Inputs!$C$32+'Credit Profile'!$C$8)/Inputs!$C$8)&lt;=Inputs!$D$44,Inputs!$D$48,IF(($B16*(Inputs!$C$32+'Credit Profile'!$C$8)/Inputs!$C$8)&lt;=Inputs!$E$44,Inputs!$E$48,IF(($B16*(Inputs!$C$32+'Credit Profile'!$C$8)/Inputs!$C$8)&lt;=Inputs!$F$44,Inputs!$F$48,Inputs!$G$48))))*(1-Inputs!$C$39)</f>
        <v>0.12524890939127</v>
      </c>
      <c r="E16" s="50" t="n">
        <f aca="false">(1-$B16)*(Inputs!$C$36+('Optimal Structure'!$C$7*(1+(1-Inputs!$C$39)*($B16/(1-$B16))))*E$13)+$B16*IF(($B16*(Inputs!$C$32+'Credit Profile'!$C$8)/Inputs!$C$8)&lt;=Inputs!$C$44,Inputs!$C$48,IF(($B16*(Inputs!$C$32+'Credit Profile'!$C$8)/Inputs!$C$8)&lt;=Inputs!$D$44,Inputs!$D$48,IF(($B16*(Inputs!$C$32+'Credit Profile'!$C$8)/Inputs!$C$8)&lt;=Inputs!$E$44,Inputs!$E$48,IF(($B16*(Inputs!$C$32+'Credit Profile'!$C$8)/Inputs!$C$8)&lt;=Inputs!$F$44,Inputs!$F$48,Inputs!$G$48))))*(1-Inputs!$C$39)</f>
        <v>0.129621037421367</v>
      </c>
      <c r="F16" s="50" t="n">
        <f aca="false">(1-$B16)*(Inputs!$C$36+('Optimal Structure'!$C$7*(1+(1-Inputs!$C$39)*($B16/(1-$B16))))*F$13)+$B16*IF(($B16*(Inputs!$C$32+'Credit Profile'!$C$8)/Inputs!$C$8)&lt;=Inputs!$C$44,Inputs!$C$48,IF(($B16*(Inputs!$C$32+'Credit Profile'!$C$8)/Inputs!$C$8)&lt;=Inputs!$D$44,Inputs!$D$48,IF(($B16*(Inputs!$C$32+'Credit Profile'!$C$8)/Inputs!$C$8)&lt;=Inputs!$E$44,Inputs!$E$48,IF(($B16*(Inputs!$C$32+'Credit Profile'!$C$8)/Inputs!$C$8)&lt;=Inputs!$F$44,Inputs!$F$48,Inputs!$G$48))))*(1-Inputs!$C$39)</f>
        <v>0.133993165451465</v>
      </c>
      <c r="G16" s="50" t="n">
        <f aca="false">(1-$B16)*(Inputs!$C$36+('Optimal Structure'!$C$7*(1+(1-Inputs!$C$39)*($B16/(1-$B16))))*G$13)+$B16*IF(($B16*(Inputs!$C$32+'Credit Profile'!$C$8)/Inputs!$C$8)&lt;=Inputs!$C$44,Inputs!$C$48,IF(($B16*(Inputs!$C$32+'Credit Profile'!$C$8)/Inputs!$C$8)&lt;=Inputs!$D$44,Inputs!$D$48,IF(($B16*(Inputs!$C$32+'Credit Profile'!$C$8)/Inputs!$C$8)&lt;=Inputs!$E$44,Inputs!$E$48,IF(($B16*(Inputs!$C$32+'Credit Profile'!$C$8)/Inputs!$C$8)&lt;=Inputs!$F$44,Inputs!$F$48,Inputs!$G$48))))*(1-Inputs!$C$39)</f>
        <v>0.138365293481563</v>
      </c>
    </row>
    <row r="17" customFormat="false" ht="15" hidden="false" customHeight="false" outlineLevel="0" collapsed="false">
      <c r="B17" s="49" t="n">
        <v>0.4</v>
      </c>
      <c r="C17" s="50" t="n">
        <f aca="false">(1-$B17)*(Inputs!$C$36+('Optimal Structure'!$C$7*(1+(1-Inputs!$C$39)*($B17/(1-$B17))))*C$13)+$B17*IF(($B17*(Inputs!$C$32+'Credit Profile'!$C$8)/Inputs!$C$8)&lt;=Inputs!$C$44,Inputs!$C$48,IF(($B17*(Inputs!$C$32+'Credit Profile'!$C$8)/Inputs!$C$8)&lt;=Inputs!$D$44,Inputs!$D$48,IF(($B17*(Inputs!$C$32+'Credit Profile'!$C$8)/Inputs!$C$8)&lt;=Inputs!$E$44,Inputs!$E$48,IF(($B17*(Inputs!$C$32+'Credit Profile'!$C$8)/Inputs!$C$8)&lt;=Inputs!$F$44,Inputs!$F$48,Inputs!$G$48))))*(1-Inputs!$C$39)</f>
        <v>0.120418779017328</v>
      </c>
      <c r="D17" s="50" t="n">
        <f aca="false">(1-$B17)*(Inputs!$C$36+('Optimal Structure'!$C$7*(1+(1-Inputs!$C$39)*($B17/(1-$B17))))*D$13)+$B17*IF(($B17*(Inputs!$C$32+'Credit Profile'!$C$8)/Inputs!$C$8)&lt;=Inputs!$C$44,Inputs!$C$48,IF(($B17*(Inputs!$C$32+'Credit Profile'!$C$8)/Inputs!$C$8)&lt;=Inputs!$D$44,Inputs!$D$48,IF(($B17*(Inputs!$C$32+'Credit Profile'!$C$8)/Inputs!$C$8)&lt;=Inputs!$E$44,Inputs!$E$48,IF(($B17*(Inputs!$C$32+'Credit Profile'!$C$8)/Inputs!$C$8)&lt;=Inputs!$F$44,Inputs!$F$48,Inputs!$G$48))))*(1-Inputs!$C$39)</f>
        <v>0.124671872268772</v>
      </c>
      <c r="E17" s="50" t="n">
        <f aca="false">(1-$B17)*(Inputs!$C$36+('Optimal Structure'!$C$7*(1+(1-Inputs!$C$39)*($B17/(1-$B17))))*E$13)+$B17*IF(($B17*(Inputs!$C$32+'Credit Profile'!$C$8)/Inputs!$C$8)&lt;=Inputs!$C$44,Inputs!$C$48,IF(($B17*(Inputs!$C$32+'Credit Profile'!$C$8)/Inputs!$C$8)&lt;=Inputs!$D$44,Inputs!$D$48,IF(($B17*(Inputs!$C$32+'Credit Profile'!$C$8)/Inputs!$C$8)&lt;=Inputs!$E$44,Inputs!$E$48,IF(($B17*(Inputs!$C$32+'Credit Profile'!$C$8)/Inputs!$C$8)&lt;=Inputs!$F$44,Inputs!$F$48,Inputs!$G$48))))*(1-Inputs!$C$39)</f>
        <v>0.128924965520216</v>
      </c>
      <c r="F17" s="50" t="n">
        <f aca="false">(1-$B17)*(Inputs!$C$36+('Optimal Structure'!$C$7*(1+(1-Inputs!$C$39)*($B17/(1-$B17))))*F$13)+$B17*IF(($B17*(Inputs!$C$32+'Credit Profile'!$C$8)/Inputs!$C$8)&lt;=Inputs!$C$44,Inputs!$C$48,IF(($B17*(Inputs!$C$32+'Credit Profile'!$C$8)/Inputs!$C$8)&lt;=Inputs!$D$44,Inputs!$D$48,IF(($B17*(Inputs!$C$32+'Credit Profile'!$C$8)/Inputs!$C$8)&lt;=Inputs!$E$44,Inputs!$E$48,IF(($B17*(Inputs!$C$32+'Credit Profile'!$C$8)/Inputs!$C$8)&lt;=Inputs!$F$44,Inputs!$F$48,Inputs!$G$48))))*(1-Inputs!$C$39)</f>
        <v>0.13317805877166</v>
      </c>
      <c r="G17" s="50" t="n">
        <f aca="false">(1-$B17)*(Inputs!$C$36+('Optimal Structure'!$C$7*(1+(1-Inputs!$C$39)*($B17/(1-$B17))))*G$13)+$B17*IF(($B17*(Inputs!$C$32+'Credit Profile'!$C$8)/Inputs!$C$8)&lt;=Inputs!$C$44,Inputs!$C$48,IF(($B17*(Inputs!$C$32+'Credit Profile'!$C$8)/Inputs!$C$8)&lt;=Inputs!$D$44,Inputs!$D$48,IF(($B17*(Inputs!$C$32+'Credit Profile'!$C$8)/Inputs!$C$8)&lt;=Inputs!$E$44,Inputs!$E$48,IF(($B17*(Inputs!$C$32+'Credit Profile'!$C$8)/Inputs!$C$8)&lt;=Inputs!$F$44,Inputs!$F$48,Inputs!$G$48))))*(1-Inputs!$C$39)</f>
        <v>0.137431152023104</v>
      </c>
    </row>
    <row r="18" customFormat="false" ht="15" hidden="false" customHeight="false" outlineLevel="0" collapsed="false">
      <c r="B18" s="49" t="n">
        <v>0.5</v>
      </c>
      <c r="C18" s="50" t="n">
        <f aca="false">(1-$B18)*(Inputs!$C$36+('Optimal Structure'!$C$7*(1+(1-Inputs!$C$39)*($B18/(1-$B18))))*C$13)+$B18*IF(($B18*(Inputs!$C$32+'Credit Profile'!$C$8)/Inputs!$C$8)&lt;=Inputs!$C$44,Inputs!$C$48,IF(($B18*(Inputs!$C$32+'Credit Profile'!$C$8)/Inputs!$C$8)&lt;=Inputs!$D$44,Inputs!$D$48,IF(($B18*(Inputs!$C$32+'Credit Profile'!$C$8)/Inputs!$C$8)&lt;=Inputs!$E$44,Inputs!$E$48,IF(($B18*(Inputs!$C$32+'Credit Profile'!$C$8)/Inputs!$C$8)&lt;=Inputs!$F$44,Inputs!$F$48,Inputs!$G$48))))*(1-Inputs!$C$39)</f>
        <v>0.127443776673483</v>
      </c>
      <c r="D18" s="50" t="n">
        <f aca="false">(1-$B18)*(Inputs!$C$36+('Optimal Structure'!$C$7*(1+(1-Inputs!$C$39)*($B18/(1-$B18))))*D$13)+$B18*IF(($B18*(Inputs!$C$32+'Credit Profile'!$C$8)/Inputs!$C$8)&lt;=Inputs!$C$44,Inputs!$C$48,IF(($B18*(Inputs!$C$32+'Credit Profile'!$C$8)/Inputs!$C$8)&lt;=Inputs!$D$44,Inputs!$D$48,IF(($B18*(Inputs!$C$32+'Credit Profile'!$C$8)/Inputs!$C$8)&lt;=Inputs!$E$44,Inputs!$E$48,IF(($B18*(Inputs!$C$32+'Credit Profile'!$C$8)/Inputs!$C$8)&lt;=Inputs!$F$44,Inputs!$F$48,Inputs!$G$48))))*(1-Inputs!$C$39)</f>
        <v>0.131577835146274</v>
      </c>
      <c r="E18" s="50" t="n">
        <f aca="false">(1-$B18)*(Inputs!$C$36+('Optimal Structure'!$C$7*(1+(1-Inputs!$C$39)*($B18/(1-$B18))))*E$13)+$B18*IF(($B18*(Inputs!$C$32+'Credit Profile'!$C$8)/Inputs!$C$8)&lt;=Inputs!$C$44,Inputs!$C$48,IF(($B18*(Inputs!$C$32+'Credit Profile'!$C$8)/Inputs!$C$8)&lt;=Inputs!$D$44,Inputs!$D$48,IF(($B18*(Inputs!$C$32+'Credit Profile'!$C$8)/Inputs!$C$8)&lt;=Inputs!$E$44,Inputs!$E$48,IF(($B18*(Inputs!$C$32+'Credit Profile'!$C$8)/Inputs!$C$8)&lt;=Inputs!$F$44,Inputs!$F$48,Inputs!$G$48))))*(1-Inputs!$C$39)</f>
        <v>0.135711893619064</v>
      </c>
      <c r="F18" s="50" t="n">
        <f aca="false">(1-$B18)*(Inputs!$C$36+('Optimal Structure'!$C$7*(1+(1-Inputs!$C$39)*($B18/(1-$B18))))*F$13)+$B18*IF(($B18*(Inputs!$C$32+'Credit Profile'!$C$8)/Inputs!$C$8)&lt;=Inputs!$C$44,Inputs!$C$48,IF(($B18*(Inputs!$C$32+'Credit Profile'!$C$8)/Inputs!$C$8)&lt;=Inputs!$D$44,Inputs!$D$48,IF(($B18*(Inputs!$C$32+'Credit Profile'!$C$8)/Inputs!$C$8)&lt;=Inputs!$E$44,Inputs!$E$48,IF(($B18*(Inputs!$C$32+'Credit Profile'!$C$8)/Inputs!$C$8)&lt;=Inputs!$F$44,Inputs!$F$48,Inputs!$G$48))))*(1-Inputs!$C$39)</f>
        <v>0.139845952091854</v>
      </c>
      <c r="G18" s="50" t="n">
        <f aca="false">(1-$B18)*(Inputs!$C$36+('Optimal Structure'!$C$7*(1+(1-Inputs!$C$39)*($B18/(1-$B18))))*G$13)+$B18*IF(($B18*(Inputs!$C$32+'Credit Profile'!$C$8)/Inputs!$C$8)&lt;=Inputs!$C$44,Inputs!$C$48,IF(($B18*(Inputs!$C$32+'Credit Profile'!$C$8)/Inputs!$C$8)&lt;=Inputs!$D$44,Inputs!$D$48,IF(($B18*(Inputs!$C$32+'Credit Profile'!$C$8)/Inputs!$C$8)&lt;=Inputs!$E$44,Inputs!$E$48,IF(($B18*(Inputs!$C$32+'Credit Profile'!$C$8)/Inputs!$C$8)&lt;=Inputs!$F$44,Inputs!$F$48,Inputs!$G$48))))*(1-Inputs!$C$39)</f>
        <v>0.143980010564644</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1" t="s">
        <v>39</v>
      </c>
      <c r="C1" s="1"/>
      <c r="D1" s="1"/>
      <c r="E1" s="1"/>
      <c r="F1" s="22" t="s">
        <v>40</v>
      </c>
    </row>
    <row r="2" customFormat="false" ht="18" hidden="false" customHeight="true" outlineLevel="0" collapsed="false">
      <c r="A2" s="1"/>
      <c r="B2" s="23" t="s">
        <v>212</v>
      </c>
      <c r="C2" s="1"/>
      <c r="D2" s="1"/>
      <c r="E2" s="1"/>
      <c r="F2" s="1"/>
    </row>
    <row r="4" customFormat="false" ht="15.75" hidden="false" customHeight="true" outlineLevel="0" collapsed="false">
      <c r="B4" s="24" t="s">
        <v>213</v>
      </c>
      <c r="C4" s="1"/>
      <c r="D4" s="1"/>
      <c r="E4" s="1"/>
      <c r="F4" s="1"/>
    </row>
    <row r="5" customFormat="false" ht="15" hidden="false" customHeight="false" outlineLevel="0" collapsed="false">
      <c r="B5" s="20" t="s">
        <v>214</v>
      </c>
      <c r="C5" s="52" t="n">
        <f aca="false">'Credit Profile'!$C$12</f>
        <v>0.599857631390355</v>
      </c>
    </row>
    <row r="6" customFormat="false" ht="15" hidden="false" customHeight="false" outlineLevel="0" collapsed="false">
      <c r="B6" s="27" t="s">
        <v>215</v>
      </c>
      <c r="C6" s="52" t="n">
        <f aca="false">'Credit Profile'!$C$13</f>
        <v>1.24554870418671</v>
      </c>
    </row>
    <row r="7" customFormat="false" ht="15" hidden="false" customHeight="false" outlineLevel="0" collapsed="false">
      <c r="B7" s="20" t="s">
        <v>109</v>
      </c>
      <c r="C7" s="52" t="n">
        <f aca="false">'Credit Profile'!$C$16</f>
        <v>4.97703909356945</v>
      </c>
    </row>
    <row r="8" customFormat="false" ht="15" hidden="false" customHeight="false" outlineLevel="0" collapsed="false">
      <c r="B8" s="20" t="s">
        <v>115</v>
      </c>
      <c r="C8" s="39" t="n">
        <f aca="false">'Credit Profile'!$C$21</f>
        <v>0.530381524159969</v>
      </c>
    </row>
    <row r="9" customFormat="false" ht="15" hidden="false" customHeight="false" outlineLevel="0" collapsed="false">
      <c r="B9" s="20" t="s">
        <v>216</v>
      </c>
      <c r="C9" s="34" t="n">
        <f aca="false">'Credit Profile'!$C$23</f>
        <v>40399</v>
      </c>
    </row>
    <row r="10" customFormat="false" ht="15" hidden="false" customHeight="false" outlineLevel="0" collapsed="false">
      <c r="B10" s="20" t="s">
        <v>217</v>
      </c>
      <c r="C10" s="53" t="s">
        <v>218</v>
      </c>
    </row>
    <row r="12" customFormat="false" ht="15.75" hidden="false" customHeight="true" outlineLevel="0" collapsed="false">
      <c r="B12" s="24" t="s">
        <v>219</v>
      </c>
      <c r="C12" s="1"/>
      <c r="D12" s="1"/>
      <c r="E12" s="1"/>
      <c r="F12" s="1"/>
    </row>
    <row r="13" customFormat="false" ht="15" hidden="false" customHeight="false" outlineLevel="0" collapsed="false">
      <c r="B13" s="27" t="s">
        <v>220</v>
      </c>
      <c r="C13" s="34" t="n">
        <f aca="false">'Debt Capacity'!$D$14</f>
        <v>44272</v>
      </c>
    </row>
    <row r="14" customFormat="false" ht="15" hidden="false" customHeight="false" outlineLevel="0" collapsed="false">
      <c r="B14" s="20" t="s">
        <v>221</v>
      </c>
      <c r="C14" s="54" t="n">
        <f aca="false">'Debt Capacity'!$D$15</f>
        <v>5.30203592814371</v>
      </c>
    </row>
    <row r="15" customFormat="false" ht="15" hidden="false" customHeight="false" outlineLevel="0" collapsed="false">
      <c r="B15" s="20" t="s">
        <v>222</v>
      </c>
      <c r="C15" s="55" t="str">
        <f aca="false">'Debt Capacity'!$D$10</f>
        <v>FFO</v>
      </c>
    </row>
    <row r="16" customFormat="false" ht="15" hidden="false" customHeight="false" outlineLevel="0" collapsed="false">
      <c r="B16" s="20" t="s">
        <v>223</v>
      </c>
      <c r="C16" s="34" t="n">
        <f aca="false">'Debt Capacity'!$E$14</f>
        <v>190332</v>
      </c>
    </row>
    <row r="18" customFormat="false" ht="15.75" hidden="false" customHeight="true" outlineLevel="0" collapsed="false">
      <c r="B18" s="24" t="s">
        <v>224</v>
      </c>
      <c r="C18" s="1"/>
      <c r="D18" s="1"/>
      <c r="E18" s="1"/>
      <c r="F18" s="1"/>
    </row>
    <row r="19" customFormat="false" ht="15" hidden="false" customHeight="false" outlineLevel="0" collapsed="false">
      <c r="B19" s="20" t="s">
        <v>24</v>
      </c>
      <c r="C19" s="56" t="n">
        <f aca="false">'Optimal Structure'!$C$10</f>
        <v>0.128800527111042</v>
      </c>
    </row>
    <row r="20" customFormat="false" ht="15" hidden="false" customHeight="false" outlineLevel="0" collapsed="false">
      <c r="B20" s="27" t="s">
        <v>225</v>
      </c>
      <c r="C20" s="56" t="n">
        <f aca="false">'Optimal Structure'!$C$25</f>
        <v>0.128371529322519</v>
      </c>
    </row>
    <row r="21" customFormat="false" ht="15" hidden="false" customHeight="false" outlineLevel="0" collapsed="false">
      <c r="B21" s="27" t="s">
        <v>179</v>
      </c>
      <c r="C21" s="39" t="n">
        <f aca="false">'Optimal Structure'!$C$26</f>
        <v>0.2</v>
      </c>
    </row>
    <row r="22" customFormat="false" ht="15" hidden="false" customHeight="false" outlineLevel="0" collapsed="false">
      <c r="B22" s="20" t="s">
        <v>26</v>
      </c>
      <c r="C22" s="57" t="n">
        <f aca="false">Liquidity!$C$19</f>
        <v>1.50723967052057</v>
      </c>
    </row>
    <row r="24" customFormat="false" ht="45" hidden="false" customHeight="true" outlineLevel="0" collapsed="false">
      <c r="B24" s="19" t="s">
        <v>226</v>
      </c>
      <c r="C24" s="19"/>
      <c r="D24" s="19"/>
      <c r="E24" s="19"/>
      <c r="F24" s="19"/>
    </row>
    <row r="25" customFormat="false" ht="45" hidden="false" customHeight="true" outlineLevel="0" collapsed="false">
      <c r="B25" s="19" t="s">
        <v>227</v>
      </c>
      <c r="C25" s="19"/>
      <c r="D25" s="19"/>
      <c r="E25" s="19"/>
      <c r="F25" s="19"/>
    </row>
    <row r="26" customFormat="false" ht="45" hidden="false" customHeight="true" outlineLevel="0" collapsed="false">
      <c r="B26" s="19" t="s">
        <v>228</v>
      </c>
      <c r="C26" s="19"/>
      <c r="D26" s="19"/>
      <c r="E26" s="19"/>
      <c r="F26" s="19"/>
    </row>
    <row r="27" customFormat="false" ht="45" hidden="false" customHeight="true" outlineLevel="0" collapsed="false">
      <c r="B27" s="19" t="s">
        <v>229</v>
      </c>
      <c r="C27" s="19"/>
      <c r="D27" s="19"/>
      <c r="E27" s="19"/>
      <c r="F27" s="19"/>
    </row>
  </sheetData>
  <mergeCells count="4">
    <mergeCell ref="B24:F24"/>
    <mergeCell ref="B25:F25"/>
    <mergeCell ref="B26:F26"/>
    <mergeCell ref="B27:F2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1" t="s">
        <v>39</v>
      </c>
      <c r="C1" s="1"/>
      <c r="D1" s="1"/>
      <c r="E1" s="22" t="s">
        <v>40</v>
      </c>
    </row>
    <row r="2" customFormat="false" ht="18" hidden="false" customHeight="true" outlineLevel="0" collapsed="false">
      <c r="A2" s="1"/>
      <c r="B2" s="23" t="s">
        <v>230</v>
      </c>
      <c r="C2" s="1"/>
      <c r="D2" s="1"/>
      <c r="E2" s="1"/>
    </row>
    <row r="4" customFormat="false" ht="15.75" hidden="false" customHeight="true" outlineLevel="0" collapsed="false">
      <c r="B4" s="24" t="s">
        <v>231</v>
      </c>
      <c r="C4" s="1"/>
      <c r="D4" s="1"/>
      <c r="E4" s="1"/>
    </row>
    <row r="5" customFormat="false" ht="15" hidden="false" customHeight="false" outlineLevel="0" collapsed="false">
      <c r="B5" s="20" t="s">
        <v>232</v>
      </c>
      <c r="C5" s="58" t="b">
        <f aca="false">ABS('Credit Profile'!$C$5-124717)&lt;1</f>
        <v>1</v>
      </c>
    </row>
    <row r="6" customFormat="false" ht="15" hidden="false" customHeight="false" outlineLevel="0" collapsed="false">
      <c r="B6" s="20" t="s">
        <v>233</v>
      </c>
      <c r="C6" s="58" t="b">
        <f aca="false">ABS(Inputs!$C$8-(Inputs!$C$6-Inputs!$C$7))&lt;0.01</f>
        <v>1</v>
      </c>
    </row>
    <row r="7" customFormat="false" ht="15" hidden="false" customHeight="false" outlineLevel="0" collapsed="false">
      <c r="B7" s="20" t="s">
        <v>234</v>
      </c>
      <c r="C7" s="58" t="b">
        <f aca="false">'Credit Profile'!$C$8&gt;'Credit Profile'!$C$5</f>
        <v>1</v>
      </c>
    </row>
    <row r="8" customFormat="false" ht="15" hidden="false" customHeight="false" outlineLevel="0" collapsed="false">
      <c r="B8" s="20" t="s">
        <v>235</v>
      </c>
      <c r="C8" s="58" t="b">
        <f aca="false">ABS('Credit Profile'!$C$12-0.6)&lt;0.02</f>
        <v>1</v>
      </c>
    </row>
    <row r="9" customFormat="false" ht="15" hidden="false" customHeight="false" outlineLevel="0" collapsed="false">
      <c r="B9" s="20" t="s">
        <v>236</v>
      </c>
      <c r="C9" s="58" t="b">
        <f aca="false">AND('Debt Capacity'!$C$9&lt;='Debt Capacity'!$C$6+0.01,'Debt Capacity'!$D$9&lt;='Debt Capacity'!$D$6+0.01,'Debt Capacity'!$E$9&lt;='Debt Capacity'!$E$6+0.01,'Debt Capacity'!$F$9&lt;='Debt Capacity'!$F$6+0.01,'Debt Capacity'!$G$9&lt;='Debt Capacity'!$G$6+0.01)</f>
        <v>1</v>
      </c>
    </row>
    <row r="10" customFormat="false" ht="15" hidden="false" customHeight="false" outlineLevel="0" collapsed="false">
      <c r="B10" s="20" t="s">
        <v>237</v>
      </c>
      <c r="C10" s="58" t="b">
        <f aca="false">AND('Debt Capacity'!$D$9&gt;='Debt Capacity'!$C$9,'Debt Capacity'!$E$9&gt;='Debt Capacity'!$D$9,'Debt Capacity'!$F$9&gt;='Debt Capacity'!$E$9,'Debt Capacity'!$G$9&gt;='Debt Capacity'!$F$9)</f>
        <v>1</v>
      </c>
    </row>
    <row r="11" customFormat="false" ht="15" hidden="false" customHeight="false" outlineLevel="0" collapsed="false">
      <c r="B11" s="20" t="s">
        <v>238</v>
      </c>
      <c r="C11" s="58" t="b">
        <f aca="false">AND(Inputs!$D$48&gt;Inputs!$C$48,Inputs!$E$48&gt;Inputs!$D$48,Inputs!$F$48&gt;Inputs!$E$48,Inputs!$G$48&gt;Inputs!$F$48)</f>
        <v>1</v>
      </c>
    </row>
    <row r="12" customFormat="false" ht="15" hidden="false" customHeight="false" outlineLevel="0" collapsed="false">
      <c r="B12" s="20" t="s">
        <v>239</v>
      </c>
      <c r="C12" s="58" t="b">
        <f aca="false">'Debt Capacity'!$D$14&gt;0</f>
        <v>1</v>
      </c>
    </row>
    <row r="13" customFormat="false" ht="15" hidden="false" customHeight="false" outlineLevel="0" collapsed="false">
      <c r="B13" s="20" t="s">
        <v>240</v>
      </c>
      <c r="C13" s="58" t="b">
        <f aca="false">'Optimal Structure'!$C$7&lt;Inputs!$C$38</f>
        <v>1</v>
      </c>
    </row>
    <row r="14" customFormat="false" ht="15" hidden="false" customHeight="false" outlineLevel="0" collapsed="false">
      <c r="B14" s="20" t="s">
        <v>241</v>
      </c>
      <c r="C14" s="58" t="b">
        <f aca="false">ABS('Optimal Structure'!$C$23-(Inputs!$C$36+'Optimal Structure'!$C$7*Inputs!$C$37))&lt;0.0001</f>
        <v>1</v>
      </c>
    </row>
    <row r="15" customFormat="false" ht="15" hidden="false" customHeight="false" outlineLevel="0" collapsed="false">
      <c r="B15" s="20" t="s">
        <v>242</v>
      </c>
      <c r="C15" s="58" t="b">
        <f aca="false">'Optimal Structure'!$C$25&lt;='Optimal Structure'!$C$10+0.0001</f>
        <v>1</v>
      </c>
    </row>
    <row r="16" customFormat="false" ht="15" hidden="false" customHeight="false" outlineLevel="0" collapsed="false">
      <c r="B16" s="20" t="s">
        <v>243</v>
      </c>
      <c r="C16" s="58" t="b">
        <f aca="false">ABS(Sensitivity!E8-'Debt Capacity'!$D$14)&lt;1</f>
        <v>1</v>
      </c>
    </row>
    <row r="17" customFormat="false" ht="15" hidden="false" customHeight="false" outlineLevel="0" collapsed="false">
      <c r="B17" s="20" t="s">
        <v>244</v>
      </c>
      <c r="C17" s="58" t="b">
        <f aca="false">Liquidity!$C$19&gt;1</f>
        <v>1</v>
      </c>
    </row>
    <row r="18" customFormat="false" ht="15" hidden="false" customHeight="false" outlineLevel="0" collapsed="false">
      <c r="B18" s="20" t="s">
        <v>245</v>
      </c>
      <c r="C18" s="58" t="b">
        <f aca="false">AND(Inputs!$C$15&gt;0.15,Inputs!$C$15&lt;0.35)</f>
        <v>1</v>
      </c>
    </row>
    <row r="19" customFormat="false" ht="15" hidden="false" customHeight="false" outlineLevel="0" collapsed="false">
      <c r="B19" s="20" t="s">
        <v>246</v>
      </c>
      <c r="C19" s="58" t="b">
        <f aca="false">ABS(Inputs!$C$32-Inputs!$C$30*Inputs!$C$31)&lt;1</f>
        <v>1</v>
      </c>
    </row>
    <row r="21" customFormat="false" ht="15" hidden="false" customHeight="false" outlineLevel="0" collapsed="false">
      <c r="B21" s="59" t="s">
        <v>247</v>
      </c>
      <c r="C21" s="60" t="str">
        <f aca="false">IF(COUNTIF(C5:C19,FALSE())=0,"MODEL OK","CHECK FAILED")</f>
        <v>MODEL OK</v>
      </c>
    </row>
    <row r="23" customFormat="false" ht="33.75" hidden="false" customHeight="true" outlineLevel="0" collapsed="false">
      <c r="B23" s="19" t="s">
        <v>248</v>
      </c>
      <c r="C23" s="19"/>
      <c r="D23" s="19"/>
      <c r="E23" s="19"/>
    </row>
  </sheetData>
  <mergeCells count="1">
    <mergeCell ref="B23:E23"/>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Debt Capacity and Capital Structure&amp;R&amp;"Arial,Regular"&amp;8Checks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2026-09-18T07:52:06Z</dcterms:created>
  <dc:creator>openpyxl</dc:creator>
  <dc:description/>
  <dc:language>en-US</dc:language>
  <cp:lastModifiedBy/>
  <dcterms:modified xsi:type="dcterms:W3CDTF">2026-09-18T07:52:06Z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