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ootball Field" sheetId="2" state="visible" r:id="rId4"/>
    <sheet name="Ranges" sheetId="3" state="visible" r:id="rId5"/>
    <sheet name="DCF" sheetId="4" state="visible" r:id="rId6"/>
    <sheet name="Inputs" sheetId="5" state="visible" r:id="rId7"/>
    <sheet name="Checks" sheetId="6" state="visible" r:id="rId8"/>
  </sheets>
  <definedNames>
    <definedName function="false" hidden="false" localSheetId="5" name="_xlnm.Print_Area" vbProcedure="false">Checks!$A$1:$D$10</definedName>
    <definedName function="false" hidden="false" localSheetId="0" name="_xlnm.Print_Area" vbProcedure="false">Cover!$A$1:$F$45</definedName>
    <definedName function="false" hidden="false" localSheetId="3" name="_xlnm.Print_Area" vbProcedure="false">DCF!$A$1:$I$40</definedName>
    <definedName function="false" hidden="false" localSheetId="3" name="_xlnm.Print_Titles" vbProcedure="false">DCF!$1:$2</definedName>
    <definedName function="false" hidden="false" localSheetId="1" name="_xlnm.Print_Area" vbProcedure="false">'Football Field'!$A$1:$J$39</definedName>
    <definedName function="false" hidden="false" localSheetId="4" name="_xlnm.Print_Area" vbProcedure="false">Inputs!$A$1:$F$43</definedName>
    <definedName function="false" hidden="false" localSheetId="2" name="_xlnm.Print_Area" vbProcedure="false">Ranges!$A$1:$H$18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<sst xmlns="http://schemas.openxmlformats.org/spreadsheetml/2006/main" count="200" uniqueCount="187">
  <si>
    <t xml:space="preserve">IB PORTFOLIO · PROJECT 05 OF 20</t>
  </si>
  <si>
    <t xml:space="preserve">Tata Consultancy Services</t>
  </si>
  <si>
    <t xml:space="preserve">Football Field &amp; Valuation Summary</t>
  </si>
  <si>
    <t xml:space="preserve">NSE: TCS   ·   INR crore unless stated · per-share values in INR   ·   as of 12 Sep 2026 · FY2026 annual report (Mar 2026)</t>
  </si>
  <si>
    <t xml:space="preserve">What this is</t>
  </si>
  <si>
    <t xml:space="preserve">The valuation summary for TCS that brings Projects 2–4 together: a compact rupee DCF with Indian cost-of-capital inputs, the trading-comparables range, the precedent-transactions range, the 52-week trading range and analyst targets, all expressed per share, drawn as a football field and weighted into a recommended range with the weights shown as inputs.</t>
  </si>
  <si>
    <t xml:space="preserve">How it is built</t>
  </si>
  <si>
    <t xml:space="preserve">•  Each method is normalised to INR per share at the same date and share count before it is drawn.</t>
  </si>
  <si>
    <t xml:space="preserve">•  The DCF bar spans WACC ± 1% across both terminal methods; the comps and precedent bars span the peer interquartile range.</t>
  </si>
  <si>
    <t xml:space="preserve">•  Weights are explicit and editable; the recommended range is their weighted low / mid / high.</t>
  </si>
  <si>
    <t xml:space="preserve">•  The floating-bar chart is a stacked bar with an invisible base series, so it renders in Excel, Google Sheets and LibreOffice without add-ins.</t>
  </si>
  <si>
    <t xml:space="preserve">Contents</t>
  </si>
  <si>
    <t xml:space="preserve">Football Field  —  the chart, methodology page and recommended range</t>
  </si>
  <si>
    <t xml:space="preserve">Ranges  —  every method as INR per share, weights, recommended range</t>
  </si>
  <si>
    <t xml:space="preserve">DCF  —  compact UFCF DCF in INR crore with Indian WACC inputs and a WACC ± 1% range</t>
  </si>
  <si>
    <t xml:space="preserve">Inputs  —  market data, DCF assumptions, ranges from Projects 3 and 4</t>
  </si>
  <si>
    <t xml:space="preserve">Checks  —  integrity checks</t>
  </si>
  <si>
    <t xml:space="preserve">Key outputs (live)</t>
  </si>
  <si>
    <t xml:space="preserve">Recommended range — low (INR)</t>
  </si>
  <si>
    <t xml:space="preserve">Recommended range — mid (INR)</t>
  </si>
  <si>
    <t xml:space="preserve">Recommended range — high (INR)</t>
  </si>
  <si>
    <t xml:space="preserve">Share price (INR)</t>
  </si>
  <si>
    <t xml:space="preserve">DCF WACC</t>
  </si>
  <si>
    <t xml:space="preserve">Model status</t>
  </si>
  <si>
    <t xml:space="preserve">Colour code</t>
  </si>
  <si>
    <t xml:space="preserve">Blue = hard-coded input</t>
  </si>
  <si>
    <t xml:space="preserve">Black = formula</t>
  </si>
  <si>
    <t xml:space="preserve">Green = link to another sheet</t>
  </si>
  <si>
    <t xml:space="preserve">Accent fill = scenario selector / key levers</t>
  </si>
  <si>
    <t xml:space="preserve">Sources</t>
  </si>
  <si>
    <t xml:space="preserve">TCS FY2026 annual report; NSE prices; Yahoo Finance 52-week range and analyst targets (12 Sep 2026)</t>
  </si>
  <si>
    <t xml:space="preserve">FRED INDIRLTLT01STM (India 10-year), Damodaran country risk premium</t>
  </si>
  <si>
    <t xml:space="preserve">Projects 3 and 4 for the market-based ranges</t>
  </si>
  <si>
    <t xml:space="preserve">Prepared by</t>
  </si>
  <si>
    <t xml:space="preserve">Jainam Mehta · github.com/jainammehta1215/ib-portfolio</t>
  </si>
  <si>
    <t xml:space="preserve">Tata Consultancy Services — Football Field &amp; Valuation Summary</t>
  </si>
  <si>
    <t xml:space="preserve">TATA CONSULTANCY SERVICES</t>
  </si>
  <si>
    <t xml:space="preserve">Valuation summary · INR per share · bars show low to high, marker at mid</t>
  </si>
  <si>
    <t xml:space="preserve">METHODOLOGY AND THE ASSUMPTIONS THAT MOVE EACH BAR</t>
  </si>
  <si>
    <t xml:space="preserve">52-week range</t>
  </si>
  <si>
    <t xml:space="preserve">Where the stock has traded in the last year; context, not valuation. Zero weight.</t>
  </si>
  <si>
    <t xml:space="preserve">Analyst targets</t>
  </si>
  <si>
    <t xml:space="preserve">Sell-side consensus (41 analysts, median INR 2,400). Reflects the same information the other bars use; low weight to avoid double-counting.</t>
  </si>
  <si>
    <t xml:space="preserve">Trading comparables</t>
  </si>
  <si>
    <t xml:space="preserve">Peer interquartile range of EV/EBITDA, EV/EBIT and P/E applied to TCS (Project 3). Moves with sector sentiment; the 2026 de-rating is the reason the bar sits near the share price. Highest weight among market methods.</t>
  </si>
  <si>
    <t xml:space="preserve">Precedent transactions</t>
  </si>
  <si>
    <t xml:space="preserve">Control-transaction multiples 2014–2024 (Project 4). Illustrative: targets were a fraction of TCS's size and the deals were struck in a higher-multiple period; low weight.</t>
  </si>
  <si>
    <t xml:space="preserve">DCF</t>
  </si>
  <si>
    <t xml:space="preserve">Intrinsic value at WACC ≈12.6% ± 1% (India G-sec 6.9%, ERP 6.5%, β 0.9), terminal growth 4% or 14× exit. The bar is wide because terminal value is ~70% of EV; the WACC and the terminal assumption dominate. Highest weight.</t>
  </si>
  <si>
    <t xml:space="preserve">RECOMMENDED RANGE AND READING</t>
  </si>
  <si>
    <t xml:space="preserve">Recommended range (weighted low – high, INR)</t>
  </si>
  <si>
    <t xml:space="preserve">Current share price (INR)</t>
  </si>
  <si>
    <t xml:space="preserve">Weighted mid vs price</t>
  </si>
  <si>
    <t xml:space="preserve">•  The methods answer different questions. Comps say what the market pays today for businesses like TCS; the DCF says what the cash flows are worth at a required return; precedents say what a buyer paid for control. When the bars overlap the share price, as here, the market is pricing TCS roughly in line with all three, and the case for a large discount or premium rests on disagreeing with a specific assumption (the ERP, the terminal growth, the sector's de-rating).</t>
  </si>
  <si>
    <t xml:space="preserve">•  The DCF and trading-comps bars straddle the price from opposite sides: comps sit slightly below (the sector de-rated in 2026), the DCF slightly above (TCS's cash generation supports the price at a 12–13% Indian discount rate). That is the tension a banker would present to a board.</t>
  </si>
  <si>
    <t xml:space="preserve">•  Weights are judgement and are shown as inputs. Change them and the recommended range moves; the point of the page is to make that judgement explicit.</t>
  </si>
  <si>
    <t xml:space="preserve">Every method expressed as INR per share · low / mid / high · weights for the recommended range</t>
  </si>
  <si>
    <t xml:space="preserve">VALUATION RANGES</t>
  </si>
  <si>
    <t xml:space="preserve">Method</t>
  </si>
  <si>
    <t xml:space="preserve">Low</t>
  </si>
  <si>
    <t xml:space="preserve">Mid</t>
  </si>
  <si>
    <t xml:space="preserve">High</t>
  </si>
  <si>
    <t xml:space="preserve">Weight</t>
  </si>
  <si>
    <t xml:space="preserve">Bar base (low)</t>
  </si>
  <si>
    <t xml:space="preserve">Bar length (high − low)</t>
  </si>
  <si>
    <t xml:space="preserve">52-week trading range</t>
  </si>
  <si>
    <t xml:space="preserve">Analyst price targets</t>
  </si>
  <si>
    <t xml:space="preserve">Trading comparables (Project 3)</t>
  </si>
  <si>
    <t xml:space="preserve">Precedent transactions (Project 4, illustrative)</t>
  </si>
  <si>
    <t xml:space="preserve">DCF (WACC ± 1%, both terminal methods)</t>
  </si>
  <si>
    <t xml:space="preserve">Weights sum</t>
  </si>
  <si>
    <t xml:space="preserve">RECOMMENDED RANGE</t>
  </si>
  <si>
    <t xml:space="preserve">Weighted low</t>
  </si>
  <si>
    <t xml:space="preserve">Weighted mid</t>
  </si>
  <si>
    <t xml:space="preserve">Weighted high</t>
  </si>
  <si>
    <t xml:space="preserve">Current share price</t>
  </si>
  <si>
    <t xml:space="preserve">Compact unlevered FCF DCF in INR crore · FY2027E–FY2031E · WACC from CAPM with Indian inputs</t>
  </si>
  <si>
    <t xml:space="preserve">WACC</t>
  </si>
  <si>
    <t xml:space="preserve">Cost of equity = rf + β × ERP</t>
  </si>
  <si>
    <t xml:space="preserve">After-tax cost of debt</t>
  </si>
  <si>
    <t xml:space="preserve">UNLEVERED FREE CASH FLOW (INR crore)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</si>
  <si>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</si>
  <si>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</si>
  <si>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</si>
  <si>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</si>
  <si>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</si>
  <si>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</si>
  <si>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Revenue growth</t>
  </si>
  <si>
    <t xml:space="preserve">Revenue</t>
  </si>
  <si>
    <t xml:space="preserve">EBIT</t>
  </si>
  <si>
    <t xml:space="preserve">  less: tax on EBIT</t>
  </si>
  <si>
    <t xml:space="preserve">  plus: D&amp;A</t>
  </si>
  <si>
    <t xml:space="preserve">  less: capex</t>
  </si>
  <si>
    <t xml:space="preserve">  less: increase in NWC</t>
  </si>
  <si>
    <t xml:space="preserve">Unlevered free cash flow</t>
  </si>
  <si>
    <t xml:space="preserve">Discount period (years, from 31 Mar 2026; valuation date ≈ 0.45y in)</t>
  </si>
  <si>
    <t xml:space="preserve">Discount factor</t>
  </si>
  <si>
    <t xml:space="preserve">PV of UFCF</t>
  </si>
  <si>
    <t xml:space="preserve">VALUATION (INR crore; per share in INR)</t>
  </si>
  <si>
    <t xml:space="preserve">Perpetuity growth</t>
  </si>
  <si>
    <t xml:space="preserve">Exit multiple</t>
  </si>
  <si>
    <t xml:space="preserve">Terminal value at FY2031</t>
  </si>
  <si>
    <t xml:space="preserve">PV of terminal value</t>
  </si>
  <si>
    <t xml:space="preserve">PV of forecast cash flows</t>
  </si>
  <si>
    <t xml:space="preserve">Enterprise value</t>
  </si>
  <si>
    <t xml:space="preserve">  terminal value % of EV</t>
  </si>
  <si>
    <t xml:space="preserve">  plus: cash &amp; investments</t>
  </si>
  <si>
    <t xml:space="preserve">  less: debt and minorities</t>
  </si>
  <si>
    <t xml:space="preserve">Equity value</t>
  </si>
  <si>
    <t xml:space="preserve">Value per share (INR)</t>
  </si>
  <si>
    <t xml:space="preserve">Implied exit multiple / implied growth</t>
  </si>
  <si>
    <t xml:space="preserve">DCF RANGE FOR THE FOOTBALL FIELD (WACC ± 1%, per-share INR)</t>
  </si>
  <si>
    <t xml:space="preserve">WACC −1%</t>
  </si>
  <si>
    <t xml:space="preserve">WACC base</t>
  </si>
  <si>
    <t xml:space="preserve">WACC +1%</t>
  </si>
  <si>
    <t xml:space="preserve">DCF low / mid / high used on the field</t>
  </si>
  <si>
    <t xml:space="preserve">Market data, DCF assumptions and the ranges brought in from Projects 3 and 4</t>
  </si>
  <si>
    <t xml:space="preserve">MARKET DATA</t>
  </si>
  <si>
    <t xml:space="preserve">NSE close, 12 Sep 2026</t>
  </si>
  <si>
    <t xml:space="preserve">52-week low (INR)</t>
  </si>
  <si>
    <t xml:space="preserve">Yahoo Finance, 12 months to 12 Sep 2026</t>
  </si>
  <si>
    <t xml:space="preserve">52-week high (INR)</t>
  </si>
  <si>
    <t xml:space="preserve">Analyst target low (INR)</t>
  </si>
  <si>
    <t xml:space="preserve">Yahoo Finance consensus, 41 analysts</t>
  </si>
  <si>
    <t xml:space="preserve">Analyst target median (INR)</t>
  </si>
  <si>
    <t xml:space="preserve">Analyst target high (INR)</t>
  </si>
  <si>
    <t xml:space="preserve">Diluted shares (crore)</t>
  </si>
  <si>
    <t xml:space="preserve">FY2026 annual report; 361.81 crore = 3,618m</t>
  </si>
  <si>
    <t xml:space="preserve">DCF ASSUMPTIONS (INR)</t>
  </si>
  <si>
    <t xml:space="preserve">FY2026A revenue (INR crore)</t>
  </si>
  <si>
    <t xml:space="preserve">FY2026 annual report (year to 31 Mar 2026)</t>
  </si>
  <si>
    <t xml:space="preserve">FY2026A EBIT (INR crore)</t>
  </si>
  <si>
    <t xml:space="preserve">Reported operating profit before other income</t>
  </si>
  <si>
    <t xml:space="preserve">FY2026A D&amp;A (INR crore)</t>
  </si>
  <si>
    <t xml:space="preserve">FY2026A capex (INR crore)</t>
  </si>
  <si>
    <t xml:space="preserve">Cash &amp; investments (INR crore)</t>
  </si>
  <si>
    <t xml:space="preserve">Cash, equivalents and current investments, 31 Mar 2026</t>
  </si>
  <si>
    <t xml:space="preserve">Debt incl. leases (INR crore)</t>
  </si>
  <si>
    <t xml:space="preserve">Mostly lease liabilities</t>
  </si>
  <si>
    <t xml:space="preserve">Minority interest (INR crore)</t>
  </si>
  <si>
    <t xml:space="preserve">Revenue growth FY2027E</t>
  </si>
  <si>
    <t xml:space="preserve">Consensus FY2027 revenue INR 2.91 lakh crore (+9% in INR, ~5% constant currency); base 5%</t>
  </si>
  <si>
    <t xml:space="preserve">Revenue growth FY2028E–FY2031E (fading)</t>
  </si>
  <si>
    <t xml:space="preserve">Fades linearly to terminal growth</t>
  </si>
  <si>
    <t xml:space="preserve">EBIT margin</t>
  </si>
  <si>
    <t xml:space="preserve">FY2024–26: 24.6%, 25.9%, 25.0%; held at 24.5%</t>
  </si>
  <si>
    <t xml:space="preserve">Effective tax rate</t>
  </si>
  <si>
    <t xml:space="preserve">FY2026: 24.5%</t>
  </si>
  <si>
    <t xml:space="preserve">D&amp;A as % of revenue</t>
  </si>
  <si>
    <t xml:space="preserve">FY2026: 2.1%</t>
  </si>
  <si>
    <t xml:space="preserve">Capex as % of revenue</t>
  </si>
  <si>
    <t xml:space="preserve">FY2026: 1.6%</t>
  </si>
  <si>
    <t xml:space="preserve">Change in NWC as % of incremental revenue</t>
  </si>
  <si>
    <t xml:space="preserve">Receivable-heavy business; FY2024–26 average</t>
  </si>
  <si>
    <t xml:space="preserve">Risk-free rate (India 10-year G-sec)</t>
  </si>
  <si>
    <t xml:space="preserve">FRED INDIRLTLT01STM, Jun 2026: 6.89%</t>
  </si>
  <si>
    <t xml:space="preserve">Equity risk premium (India)</t>
  </si>
  <si>
    <t xml:space="preserve">Damodaran mature-market ERP plus India country risk premium, 2026 (approx.)</t>
  </si>
  <si>
    <t xml:space="preserve">Beta</t>
  </si>
  <si>
    <t xml:space="preserve">TCS 5-year weekly beta vs Nifty 50 ≈ 0.85–0.95; low-beta defensive</t>
  </si>
  <si>
    <t xml:space="preserve">Pre-tax cost of debt</t>
  </si>
  <si>
    <t xml:space="preserve">Lease-implicit rate; immaterial weight</t>
  </si>
  <si>
    <t xml:space="preserve">Debt weight</t>
  </si>
  <si>
    <t xml:space="preserve">Book debt / market equity</t>
  </si>
  <si>
    <t xml:space="preserve">Terminal growth</t>
  </si>
  <si>
    <t xml:space="preserve">Nominal INR; below long-run Indian nominal GDP</t>
  </si>
  <si>
    <t xml:space="preserve">Terminal EV / EBITDA exit multiple</t>
  </si>
  <si>
    <t xml:space="preserve">Below TCS's current 10-year average (~18x) and the precedent median (14.7x)</t>
  </si>
  <si>
    <t xml:space="preserve">Mid-year convention (1 = on)</t>
  </si>
  <si>
    <t xml:space="preserve">RANGES FROM OTHER PROJECTS (INR per share)</t>
  </si>
  <si>
    <t xml:space="preserve">Trading comps — 25th pct (Project 3, median across multiples)</t>
  </si>
  <si>
    <t xml:space="preserve">Project 3 Summary: EV/EBITDA @25th = 1,652; range across methods 1,215–2,942</t>
  </si>
  <si>
    <t xml:space="preserve">Trading comps — median</t>
  </si>
  <si>
    <t xml:space="preserve">Project 3 Summary: median across methods</t>
  </si>
  <si>
    <t xml:space="preserve">Trading comps — 75th pct</t>
  </si>
  <si>
    <t xml:space="preserve">Project 3 Summary: EV/EBITDA @75th</t>
  </si>
  <si>
    <t xml:space="preserve">Precedents — 25th pct (Project 4, EV/Revenue)</t>
  </si>
  <si>
    <t xml:space="preserve">Project 4 Summary; illustrative (targets much smaller than TCS)</t>
  </si>
  <si>
    <t xml:space="preserve">Precedents — median</t>
  </si>
  <si>
    <t xml:space="preserve">Precedents — 75th pct</t>
  </si>
  <si>
    <t xml:space="preserve">Integrity checks · should all be TRUE</t>
  </si>
  <si>
    <t xml:space="preserve">Weights sum to 100%</t>
  </si>
  <si>
    <t xml:space="preserve">Every range is ordered low ≤ mid ≤ high</t>
  </si>
  <si>
    <t xml:space="preserve">WACC above terminal growth</t>
  </si>
  <si>
    <t xml:space="preserve">DCF terminal value share of EV between 50% and 90%</t>
  </si>
  <si>
    <t xml:space="preserve">Implied exit multiple from perpetuity method between 8x and 30x</t>
  </si>
  <si>
    <t xml:space="preserve">OVERALL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</si>
</sst>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0.00"/>
    <numFmt numFmtId="168" formatCode="0.0000"/>
    <numFmt numFmtId="169" formatCode="0.0\x"/>
    <numFmt numFmtId="170" formatCode="#,##0.00;\(#,##0.00\);\-"/>
    <numFmt numFmtId="171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E31837"/>
      <name val="Arial"/>
      <family val="0"/>
      <charset val="1"/>
    </font>
    <font>
      <b val="true"/>
      <sz val="24"/>
      <color rgb="FF0F2B5B"/>
      <name val="Arial"/>
      <family val="0"/>
      <charset val="1"/>
    </font>
    <font>
      <sz val="15"/>
      <color rgb="FF5B6B85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0F2B5B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2B5B"/>
        <bgColor rgb="FF333333"/>
      </patternFill>
    </fill>
    <fill>
      <patternFill patternType="solid">
        <fgColor rgb="FFE31837"/>
        <bgColor rgb="FF993366"/>
      </patternFill>
    </fill>
    <fill>
      <patternFill patternType="solid">
        <fgColor rgb="FFEEF2F8"/>
        <bgColor rgb="FFFFFFFF"/>
      </patternFill>
    </fill>
    <fill>
      <patternFill patternType="solid">
        <fgColor rgb="FF5B6B85"/>
        <bgColor rgb="FF7F7F7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3183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EEF2F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85"/>
      <rgbColor rgb="FF878787"/>
      <rgbColor rgb="FF0F2B5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TCS — valuation range by method (INR per share)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Ranges!G5</c:f>
              <c:strCache>
                <c:ptCount val="1"/>
                <c:pt idx="0">
                  <c:v>Bar base (low)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Ranges!$B$6:$B$10</c:f>
              <c:strCache>
                <c:ptCount val="5"/>
                <c:pt idx="0">
                  <c:v>52-week trading range</c:v>
                </c:pt>
                <c:pt idx="1">
                  <c:v>Analyst price targets</c:v>
                </c:pt>
                <c:pt idx="2">
                  <c:v>Trading comparables (Project 3)</c:v>
                </c:pt>
                <c:pt idx="3">
                  <c:v>Precedent transactions (Project 4, illustrative)</c:v>
                </c:pt>
                <c:pt idx="4">
                  <c:v>DCF (WACC ± 1%, both terminal methods)</c:v>
                </c:pt>
              </c:strCache>
            </c:strRef>
          </c:cat>
          <c:val>
            <c:numRef>
              <c:f>Ranges!$G$6:$G$10</c:f>
              <c:numCache>
                <c:formatCode>#,##0;\(#,##0\);\-</c:formatCode>
                <c:ptCount val="5"/>
                <c:pt idx="0">
                  <c:v>1971.8</c:v>
                </c:pt>
                <c:pt idx="1">
                  <c:v>1800</c:v>
                </c:pt>
                <c:pt idx="2">
                  <c:v>1652</c:v>
                </c:pt>
                <c:pt idx="3">
                  <c:v>1428</c:v>
                </c:pt>
                <c:pt idx="4">
                  <c:v>1698.43788421797</c:v>
                </c:pt>
              </c:numCache>
            </c:numRef>
          </c:val>
        </c:ser>
        <c:ser>
          <c:idx val="1"/>
          <c:order val="1"/>
          <c:tx>
            <c:strRef>
              <c:f>Ranges!H5</c:f>
              <c:strCache>
                <c:ptCount val="1"/>
                <c:pt idx="0">
                  <c:v>Bar length (high − low)</c:v>
                </c:pt>
              </c:strCache>
            </c:strRef>
          </c:tx>
          <c:spPr>
            <a:solidFill>
              <a:srgbClr val="0f2b5b"/>
            </a:solidFill>
            <a:ln w="9360">
              <a:solidFill>
                <a:srgbClr val="0f2b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Ranges!$B$6:$B$10</c:f>
              <c:strCache>
                <c:ptCount val="5"/>
                <c:pt idx="0">
                  <c:v>52-week trading range</c:v>
                </c:pt>
                <c:pt idx="1">
                  <c:v>Analyst price targets</c:v>
                </c:pt>
                <c:pt idx="2">
                  <c:v>Trading comparables (Project 3)</c:v>
                </c:pt>
                <c:pt idx="3">
                  <c:v>Precedent transactions (Project 4, illustrative)</c:v>
                </c:pt>
                <c:pt idx="4">
                  <c:v>DCF (WACC ± 1%, both terminal methods)</c:v>
                </c:pt>
              </c:strCache>
            </c:strRef>
          </c:cat>
          <c:val>
            <c:numRef>
              <c:f>Ranges!$H$6:$H$10</c:f>
              <c:numCache>
                <c:formatCode>#,##0;\(#,##0\);\-</c:formatCode>
                <c:ptCount val="5"/>
                <c:pt idx="0">
                  <c:v>1232.5</c:v>
                </c:pt>
                <c:pt idx="1">
                  <c:v>1680</c:v>
                </c:pt>
                <c:pt idx="2">
                  <c:v>826</c:v>
                </c:pt>
                <c:pt idx="3">
                  <c:v>1254</c:v>
                </c:pt>
                <c:pt idx="4">
                  <c:v>1064.80089271712</c:v>
                </c:pt>
              </c:numCache>
            </c:numRef>
          </c:val>
        </c:ser>
        <c:gapWidth val="60"/>
        <c:overlap val="100"/>
        <c:axId val="58583879"/>
        <c:axId val="9972291"/>
      </c:barChart>
      <c:catAx>
        <c:axId val="58583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2291"/>
        <c:crosses val="autoZero"/>
        <c:auto val="1"/>
        <c:lblAlgn val="ctr"/>
        <c:lblOffset val="100"/>
        <c:noMultiLvlLbl val="0"/>
      </c:catAx>
      <c:valAx>
        <c:axId val="9972291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INR per share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838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7</xdr:col>
      <xdr:colOff>588960</xdr:colOff>
      <xdr:row>20</xdr:row>
      <xdr:rowOff>181440</xdr:rowOff>
    </xdr:to>
    <xdr:graphicFrame>
      <xdr:nvGraphicFramePr>
        <xdr:cNvPr id="0" name="Chart 1"/>
        <xdr:cNvGraphicFramePr/>
      </xdr:nvGraphicFramePr>
      <xdr:xfrm>
        <a:off x="176400" y="800280"/>
        <a:ext cx="79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CS_Football_Field.xlsx" TargetMode="External"/><Relationship Id="rId2" Type="http://schemas.openxmlformats.org/officeDocument/2006/relationships/hyperlink" Target="TCS_Football_Field.xlsx" TargetMode="External"/><Relationship Id="rId3" Type="http://schemas.openxmlformats.org/officeDocument/2006/relationships/hyperlink" Target="TCS_Football_Field.xlsx" TargetMode="External"/><Relationship Id="rId4" Type="http://schemas.openxmlformats.org/officeDocument/2006/relationships/hyperlink" Target="TCS_Football_Field.xlsx" TargetMode="External"/><Relationship Id="rId5" Type="http://schemas.openxmlformats.org/officeDocument/2006/relationships/hyperlink" Target="TCS_Football_Fiel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4" min="4" style="0" width="3"/>
    <col collapsed="false" customWidth="true" hidden="false" outlineLevel="0" max="5" min="5" style="0" width="24"/>
    <col collapsed="false" customWidth="true" hidden="false" outlineLevel="0" max="6" min="6" style="0" width="14"/>
  </cols>
  <sheetData>
    <row r="1" customFormat="false" ht="7.5" hidden="false" customHeight="true" outlineLevel="0" collapsed="false">
      <c r="A1" s="1"/>
    </row>
    <row r="2" customFormat="false" ht="15" hidden="false" customHeight="false" outlineLevel="0" collapsed="false">
      <c r="A2" s="1"/>
    </row>
    <row r="3" customFormat="false" ht="15" hidden="false" customHeight="false" outlineLevel="0" collapsed="false">
      <c r="A3" s="1"/>
      <c r="B3" s="2" t="s">
        <v>0</v>
      </c>
    </row>
    <row r="4" customFormat="false" ht="31.5" hidden="false" customHeight="true" outlineLevel="0" collapsed="false">
      <c r="A4" s="1"/>
      <c r="B4" s="3" t="s">
        <v>1</v>
      </c>
    </row>
    <row r="5" customFormat="false" ht="21.75" hidden="false" customHeight="true" outlineLevel="0" collapsed="false">
      <c r="A5" s="1"/>
      <c r="B5" s="4" t="s">
        <v>2</v>
      </c>
    </row>
    <row r="6" customFormat="false" ht="15" hidden="false" customHeight="false" outlineLevel="0" collapsed="false">
      <c r="A6" s="1"/>
      <c r="B6" s="5" t="s">
        <v>3</v>
      </c>
    </row>
    <row r="7" customFormat="false" ht="3" hidden="false" customHeight="true" outlineLevel="0" collapsed="false">
      <c r="A7" s="1"/>
      <c r="B7" s="6"/>
      <c r="C7" s="6"/>
      <c r="D7" s="6"/>
      <c r="E7" s="6"/>
      <c r="F7" s="6"/>
    </row>
    <row r="8" customFormat="false" ht="15" hidden="false" customHeight="false" outlineLevel="0" collapsed="false">
      <c r="A8" s="1"/>
    </row>
    <row r="9" customFormat="false" ht="60" hidden="false" customHeight="true" outlineLevel="0" collapsed="false">
      <c r="A9" s="1"/>
      <c r="B9" s="7" t="s">
        <v>4</v>
      </c>
      <c r="C9" s="8" t="s">
        <v>5</v>
      </c>
      <c r="D9" s="8"/>
      <c r="E9" s="8"/>
      <c r="F9" s="8"/>
    </row>
    <row r="10" customFormat="false" ht="15" hidden="false" customHeight="false" outlineLevel="0" collapsed="false">
      <c r="A10" s="1"/>
    </row>
    <row r="11" customFormat="false" ht="30" hidden="false" customHeight="true" outlineLevel="0" collapsed="false">
      <c r="A11" s="1"/>
      <c r="B11" s="7" t="s">
        <v>6</v>
      </c>
      <c r="C11" s="8" t="s">
        <v>7</v>
      </c>
      <c r="D11" s="8"/>
      <c r="E11" s="8"/>
      <c r="F11" s="8"/>
    </row>
    <row r="12" customFormat="false" ht="30" hidden="false" customHeight="true" outlineLevel="0" collapsed="false">
      <c r="A12" s="1"/>
      <c r="C12" s="8" t="s">
        <v>8</v>
      </c>
      <c r="D12" s="8"/>
      <c r="E12" s="8"/>
      <c r="F12" s="8"/>
    </row>
    <row r="13" customFormat="false" ht="15" hidden="false" customHeight="true" outlineLevel="0" collapsed="false">
      <c r="A13" s="1"/>
      <c r="C13" s="8" t="s">
        <v>9</v>
      </c>
      <c r="D13" s="8"/>
      <c r="E13" s="8"/>
      <c r="F13" s="8"/>
    </row>
    <row r="14" customFormat="false" ht="30" hidden="false" customHeight="true" outlineLevel="0" collapsed="false">
      <c r="A14" s="1"/>
      <c r="C14" s="8" t="s">
        <v>10</v>
      </c>
      <c r="D14" s="8"/>
      <c r="E14" s="8"/>
      <c r="F14" s="8"/>
    </row>
    <row r="15" customFormat="false" ht="15" hidden="false" customHeight="false" outlineLevel="0" collapsed="false">
      <c r="A15" s="1"/>
    </row>
    <row r="16" customFormat="false" ht="15" hidden="false" customHeight="false" outlineLevel="0" collapsed="false">
      <c r="A16" s="1"/>
      <c r="B16" s="7" t="s">
        <v>11</v>
      </c>
      <c r="C16" s="9" t="s">
        <v>12</v>
      </c>
      <c r="D16" s="9"/>
      <c r="E16" s="9"/>
      <c r="F16" s="9"/>
    </row>
    <row r="17" customFormat="false" ht="15" hidden="false" customHeight="false" outlineLevel="0" collapsed="false">
      <c r="A17" s="1"/>
      <c r="C17" s="9" t="s">
        <v>13</v>
      </c>
      <c r="D17" s="9"/>
      <c r="E17" s="9"/>
      <c r="F17" s="9"/>
    </row>
    <row r="18" customFormat="false" ht="15" hidden="false" customHeight="false" outlineLevel="0" collapsed="false">
      <c r="A18" s="1"/>
      <c r="C18" s="9" t="s">
        <v>14</v>
      </c>
      <c r="D18" s="9"/>
      <c r="E18" s="9"/>
      <c r="F18" s="9"/>
    </row>
    <row r="19" customFormat="false" ht="15" hidden="false" customHeight="false" outlineLevel="0" collapsed="false">
      <c r="A19" s="1"/>
      <c r="C19" s="9" t="s">
        <v>15</v>
      </c>
      <c r="D19" s="9"/>
      <c r="E19" s="9"/>
      <c r="F19" s="9"/>
    </row>
    <row r="20" customFormat="false" ht="15" hidden="false" customHeight="false" outlineLevel="0" collapsed="false">
      <c r="A20" s="1"/>
      <c r="C20" s="9" t="s">
        <v>16</v>
      </c>
      <c r="D20" s="9"/>
      <c r="E20" s="9"/>
      <c r="F20" s="9"/>
    </row>
    <row r="21" customFormat="false" ht="15" hidden="false" customHeight="false" outlineLevel="0" collapsed="false">
      <c r="A21" s="1"/>
    </row>
    <row r="22" customFormat="false" ht="15" hidden="false" customHeight="false" outlineLevel="0" collapsed="false">
      <c r="A22" s="1"/>
      <c r="B22" s="7" t="s">
        <v>17</v>
      </c>
      <c r="C22" s="10" t="s">
        <v>18</v>
      </c>
      <c r="D22" s="11"/>
      <c r="E22" s="12" t="n">
        <f aca="false">Ranges!C14</f>
        <v>1651.77515368719</v>
      </c>
    </row>
    <row r="23" customFormat="false" ht="15" hidden="false" customHeight="false" outlineLevel="0" collapsed="false">
      <c r="A23" s="1"/>
      <c r="C23" s="10" t="s">
        <v>19</v>
      </c>
      <c r="D23" s="11"/>
      <c r="E23" s="12" t="n">
        <f aca="false">Ranges!C15</f>
        <v>2099.55847699239</v>
      </c>
    </row>
    <row r="24" customFormat="false" ht="15" hidden="false" customHeight="false" outlineLevel="0" collapsed="false">
      <c r="A24" s="1"/>
      <c r="C24" s="10" t="s">
        <v>20</v>
      </c>
      <c r="D24" s="11"/>
      <c r="E24" s="12" t="n">
        <f aca="false">Ranges!C16</f>
        <v>2722.89551077404</v>
      </c>
    </row>
    <row r="25" customFormat="false" ht="15" hidden="false" customHeight="false" outlineLevel="0" collapsed="false">
      <c r="A25" s="1"/>
      <c r="C25" s="10" t="s">
        <v>21</v>
      </c>
      <c r="D25" s="11"/>
      <c r="E25" s="12" t="n">
        <f aca="false">Inputs!$C$5</f>
        <v>2200.8</v>
      </c>
    </row>
    <row r="26" customFormat="false" ht="15" hidden="false" customHeight="false" outlineLevel="0" collapsed="false">
      <c r="A26" s="1"/>
      <c r="C26" s="10" t="s">
        <v>22</v>
      </c>
      <c r="D26" s="11"/>
      <c r="E26" s="13" t="n">
        <f aca="false">DCF!$C$7</f>
        <v>0.1260825</v>
      </c>
    </row>
    <row r="27" customFormat="false" ht="15" hidden="false" customHeight="false" outlineLevel="0" collapsed="false">
      <c r="A27" s="1"/>
      <c r="C27" s="10" t="s">
        <v>23</v>
      </c>
      <c r="D27" s="11"/>
      <c r="E27" s="14" t="str">
        <f aca="false">Checks!C10</f>
        <v>MODEL OK</v>
      </c>
    </row>
    <row r="28" customFormat="false" ht="15" hidden="false" customHeight="false" outlineLevel="0" collapsed="false">
      <c r="A28" s="1"/>
    </row>
    <row r="29" customFormat="false" ht="15" hidden="false" customHeight="false" outlineLevel="0" collapsed="false">
      <c r="A29" s="1"/>
      <c r="B29" s="7" t="s">
        <v>24</v>
      </c>
      <c r="C29" s="15" t="s">
        <v>25</v>
      </c>
    </row>
    <row r="30" customFormat="false" ht="15" hidden="false" customHeight="false" outlineLevel="0" collapsed="false">
      <c r="A30" s="1"/>
      <c r="C30" s="16" t="s">
        <v>26</v>
      </c>
    </row>
    <row r="31" customFormat="false" ht="15" hidden="false" customHeight="false" outlineLevel="0" collapsed="false">
      <c r="A31" s="1"/>
      <c r="C31" s="17" t="s">
        <v>27</v>
      </c>
    </row>
    <row r="32" customFormat="false" ht="15" hidden="false" customHeight="false" outlineLevel="0" collapsed="false">
      <c r="A32" s="1"/>
      <c r="C32" s="18" t="s">
        <v>28</v>
      </c>
    </row>
    <row r="33" customFormat="false" ht="15" hidden="false" customHeight="false" outlineLevel="0" collapsed="false">
      <c r="A33" s="1"/>
    </row>
    <row r="34" customFormat="false" ht="27.75" hidden="false" customHeight="true" outlineLevel="0" collapsed="false">
      <c r="A34" s="1"/>
      <c r="B34" s="7" t="s">
        <v>29</v>
      </c>
      <c r="C34" s="19" t="s">
        <v>30</v>
      </c>
      <c r="D34" s="19"/>
      <c r="E34" s="19"/>
      <c r="F34" s="19"/>
    </row>
    <row r="35" customFormat="false" ht="13.5" hidden="false" customHeight="true" outlineLevel="0" collapsed="false">
      <c r="A35" s="1"/>
      <c r="C35" s="19" t="s">
        <v>31</v>
      </c>
      <c r="D35" s="19"/>
      <c r="E35" s="19"/>
      <c r="F35" s="19"/>
    </row>
    <row r="36" customFormat="false" ht="13.5" hidden="false" customHeight="true" outlineLevel="0" collapsed="false">
      <c r="A36" s="1"/>
      <c r="C36" s="19" t="s">
        <v>32</v>
      </c>
      <c r="D36" s="19"/>
      <c r="E36" s="19"/>
      <c r="F36" s="19"/>
    </row>
    <row r="37" customFormat="false" ht="15" hidden="false" customHeight="false" outlineLevel="0" collapsed="false">
      <c r="A37" s="1"/>
    </row>
    <row r="38" customFormat="false" ht="15" hidden="false" customHeight="false" outlineLevel="0" collapsed="false">
      <c r="A38" s="1"/>
      <c r="B38" s="7" t="s">
        <v>33</v>
      </c>
      <c r="C38" s="20" t="s">
        <v>34</v>
      </c>
    </row>
    <row r="39" customFormat="false" ht="15" hidden="false" customHeight="false" outlineLevel="0" collapsed="false">
      <c r="A39" s="1"/>
    </row>
    <row r="40" customFormat="false" ht="15" hidden="false" customHeight="false" outlineLevel="0" collapsed="false">
      <c r="A40" s="1"/>
    </row>
    <row r="41" customFormat="false" ht="15" hidden="false" customHeight="false" outlineLevel="0" collapsed="false">
      <c r="A41" s="1"/>
    </row>
    <row r="42" customFormat="false" ht="15" hidden="false" customHeight="false" outlineLevel="0" collapsed="false">
      <c r="A42" s="1"/>
    </row>
    <row r="43" customFormat="false" ht="15" hidden="false" customHeight="false" outlineLevel="0" collapsed="false">
      <c r="A43" s="1"/>
    </row>
    <row r="44" customFormat="false" ht="15" hidden="false" customHeight="false" outlineLevel="0" collapsed="false">
      <c r="A44" s="1"/>
    </row>
    <row r="45" customFormat="false" ht="15" hidden="false" customHeight="false" outlineLevel="0" collapsed="false">
      <c r="A45" s="1"/>
    </row>
  </sheetData>
  <mergeCells count="13">
    <mergeCell ref="C9:F9"/>
    <mergeCell ref="C11:F11"/>
    <mergeCell ref="C12:F12"/>
    <mergeCell ref="C13:F13"/>
    <mergeCell ref="C14:F14"/>
    <mergeCell ref="C16:F16"/>
    <mergeCell ref="C17:F17"/>
    <mergeCell ref="C18:F18"/>
    <mergeCell ref="C19:F19"/>
    <mergeCell ref="C20:F20"/>
    <mergeCell ref="C34:F34"/>
    <mergeCell ref="C35:F35"/>
    <mergeCell ref="C36:F36"/>
  </mergeCells>
  <hyperlinks>
    <hyperlink ref="C16" r:id="rId1" location="'Football%20Field'!A1" display="Football Field  —  the chart, methodology page and recommended range"/>
    <hyperlink ref="C17" r:id="rId2" location="'Ranges'!A1" display="Ranges  —  every method as INR per share, weights, recommended range"/>
    <hyperlink ref="C18" r:id="rId3" location="'DCF'!A1" display="DCF  —  compact UFCF DCF in INR crore with Indian WACC inputs and a WACC ± 1% range"/>
    <hyperlink ref="C19" r:id="rId4" location="'Inputs'!A1" display="Inputs  —  market data, DCF assumptions, ranges from Projects 3 and 4"/>
    <hyperlink ref="C20" r:id="rId5" location="'Checks'!A1" display="Checks  —  integrity checks"/>
  </hyperlinks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Summary&amp;R&amp;"Arial,Regular"&amp;8Cover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10" min="3" style="0" width="12"/>
  </cols>
  <sheetData>
    <row r="1" customFormat="false" ht="30" hidden="false" customHeight="true" outlineLevel="0" collapsed="false">
      <c r="A1" s="1"/>
      <c r="B1" s="21" t="s">
        <v>35</v>
      </c>
      <c r="C1" s="1"/>
      <c r="D1" s="1"/>
      <c r="E1" s="1"/>
      <c r="F1" s="1"/>
      <c r="G1" s="1"/>
      <c r="H1" s="1"/>
      <c r="I1" s="1"/>
      <c r="J1" s="22" t="s">
        <v>36</v>
      </c>
    </row>
    <row r="2" customFormat="false" ht="18" hidden="false" customHeight="true" outlineLevel="0" collapsed="false">
      <c r="A2" s="1"/>
      <c r="B2" s="23" t="s">
        <v>37</v>
      </c>
      <c r="C2" s="1"/>
      <c r="D2" s="1"/>
      <c r="E2" s="1"/>
      <c r="F2" s="1"/>
      <c r="G2" s="1"/>
      <c r="H2" s="1"/>
      <c r="I2" s="1"/>
      <c r="J2" s="1"/>
    </row>
    <row r="25" customFormat="false" ht="15.75" hidden="false" customHeight="true" outlineLevel="0" collapsed="false">
      <c r="B25" s="24" t="s">
        <v>38</v>
      </c>
      <c r="C25" s="1"/>
      <c r="D25" s="1"/>
      <c r="E25" s="1"/>
      <c r="F25" s="1"/>
      <c r="G25" s="1"/>
      <c r="H25" s="1"/>
      <c r="I25" s="1"/>
      <c r="J25" s="1"/>
    </row>
    <row r="26" customFormat="false" ht="30" hidden="false" customHeight="true" outlineLevel="0" collapsed="false">
      <c r="B26" s="25" t="s">
        <v>39</v>
      </c>
      <c r="C26" s="8" t="s">
        <v>40</v>
      </c>
      <c r="D26" s="8"/>
      <c r="E26" s="8"/>
      <c r="F26" s="8"/>
      <c r="G26" s="8"/>
      <c r="H26" s="8"/>
      <c r="I26" s="8"/>
      <c r="J26" s="8"/>
    </row>
    <row r="27" customFormat="false" ht="30" hidden="false" customHeight="true" outlineLevel="0" collapsed="false">
      <c r="B27" s="25" t="s">
        <v>41</v>
      </c>
      <c r="C27" s="8" t="s">
        <v>42</v>
      </c>
      <c r="D27" s="8"/>
      <c r="E27" s="8"/>
      <c r="F27" s="8"/>
      <c r="G27" s="8"/>
      <c r="H27" s="8"/>
      <c r="I27" s="8"/>
      <c r="J27" s="8"/>
    </row>
    <row r="28" customFormat="false" ht="30" hidden="false" customHeight="true" outlineLevel="0" collapsed="false">
      <c r="B28" s="25" t="s">
        <v>43</v>
      </c>
      <c r="C28" s="8" t="s">
        <v>44</v>
      </c>
      <c r="D28" s="8"/>
      <c r="E28" s="8"/>
      <c r="F28" s="8"/>
      <c r="G28" s="8"/>
      <c r="H28" s="8"/>
      <c r="I28" s="8"/>
      <c r="J28" s="8"/>
    </row>
    <row r="29" customFormat="false" ht="30" hidden="false" customHeight="true" outlineLevel="0" collapsed="false">
      <c r="B29" s="25" t="s">
        <v>45</v>
      </c>
      <c r="C29" s="8" t="s">
        <v>46</v>
      </c>
      <c r="D29" s="8"/>
      <c r="E29" s="8"/>
      <c r="F29" s="8"/>
      <c r="G29" s="8"/>
      <c r="H29" s="8"/>
      <c r="I29" s="8"/>
      <c r="J29" s="8"/>
    </row>
    <row r="30" customFormat="false" ht="30" hidden="false" customHeight="true" outlineLevel="0" collapsed="false">
      <c r="B30" s="25" t="s">
        <v>47</v>
      </c>
      <c r="C30" s="8" t="s">
        <v>48</v>
      </c>
      <c r="D30" s="8"/>
      <c r="E30" s="8"/>
      <c r="F30" s="8"/>
      <c r="G30" s="8"/>
      <c r="H30" s="8"/>
      <c r="I30" s="8"/>
      <c r="J30" s="8"/>
    </row>
    <row r="32" customFormat="false" ht="15.75" hidden="false" customHeight="true" outlineLevel="0" collapsed="false">
      <c r="B32" s="24" t="s">
        <v>49</v>
      </c>
      <c r="C32" s="1"/>
      <c r="D32" s="1"/>
      <c r="E32" s="1"/>
      <c r="F32" s="1"/>
      <c r="G32" s="1"/>
      <c r="H32" s="1"/>
      <c r="I32" s="1"/>
      <c r="J32" s="1"/>
    </row>
    <row r="33" customFormat="false" ht="15" hidden="false" customHeight="false" outlineLevel="0" collapsed="false">
      <c r="B33" s="25" t="s">
        <v>50</v>
      </c>
      <c r="C33" s="16" t="str">
        <f aca="false">TEXT(Ranges!C14,"#,##0")&amp;" – "&amp;TEXT(Ranges!C16,"#,##0")&amp;"   (mid "&amp;TEXT(Ranges!C15,"#,##0")&amp;")"</f>
        <v>1,652 – 2,723   (mid 2,100)</v>
      </c>
    </row>
    <row r="34" customFormat="false" ht="15" hidden="false" customHeight="false" outlineLevel="0" collapsed="false">
      <c r="B34" s="20" t="s">
        <v>51</v>
      </c>
      <c r="C34" s="26" t="n">
        <f aca="false">Inputs!$C$5</f>
        <v>2200.8</v>
      </c>
    </row>
    <row r="35" customFormat="false" ht="15" hidden="false" customHeight="false" outlineLevel="0" collapsed="false">
      <c r="B35" s="20" t="s">
        <v>52</v>
      </c>
      <c r="C35" s="27" t="n">
        <f aca="false">Ranges!C18</f>
        <v>-0.0460021460412622</v>
      </c>
    </row>
    <row r="37" customFormat="false" ht="48" hidden="false" customHeight="true" outlineLevel="0" collapsed="false">
      <c r="B37" s="8" t="s">
        <v>53</v>
      </c>
      <c r="C37" s="8"/>
      <c r="D37" s="8"/>
      <c r="E37" s="8"/>
      <c r="F37" s="8"/>
      <c r="G37" s="8"/>
      <c r="H37" s="8"/>
      <c r="I37" s="8"/>
      <c r="J37" s="8"/>
    </row>
    <row r="38" customFormat="false" ht="48" hidden="false" customHeight="true" outlineLevel="0" collapsed="false">
      <c r="B38" s="8" t="s">
        <v>54</v>
      </c>
      <c r="C38" s="8"/>
      <c r="D38" s="8"/>
      <c r="E38" s="8"/>
      <c r="F38" s="8"/>
      <c r="G38" s="8"/>
      <c r="H38" s="8"/>
      <c r="I38" s="8"/>
      <c r="J38" s="8"/>
    </row>
    <row r="39" customFormat="false" ht="48" hidden="false" customHeight="true" outlineLevel="0" collapsed="false">
      <c r="B39" s="8" t="s">
        <v>55</v>
      </c>
      <c r="C39" s="8"/>
      <c r="D39" s="8"/>
      <c r="E39" s="8"/>
      <c r="F39" s="8"/>
      <c r="G39" s="8"/>
      <c r="H39" s="8"/>
      <c r="I39" s="8"/>
      <c r="J39" s="8"/>
    </row>
  </sheetData>
  <mergeCells count="8">
    <mergeCell ref="C26:J26"/>
    <mergeCell ref="C27:J27"/>
    <mergeCell ref="C28:J28"/>
    <mergeCell ref="C29:J29"/>
    <mergeCell ref="C30:J30"/>
    <mergeCell ref="B37:J37"/>
    <mergeCell ref="B38:J38"/>
    <mergeCell ref="B39:J39"/>
  </mergeCells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Summary&amp;R&amp;"Arial,Regular"&amp;8Football Field</oddHeader>
    <oddFooter>&amp;L&amp;"Arial,Regular"&amp;8Jainam Mehta · github.com/jainammehta1215/ib-portfolio&amp;C&amp;"Arial,Regular"&amp;8Blue = input · Black = formula · Green = link&amp;R&amp;"Arial,Regular"&amp;8Page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3"/>
  </cols>
  <sheetData>
    <row r="1" customFormat="false" ht="30" hidden="false" customHeight="true" outlineLevel="0" collapsed="false">
      <c r="A1" s="1"/>
      <c r="B1" s="21" t="s">
        <v>35</v>
      </c>
      <c r="C1" s="1"/>
      <c r="D1" s="1"/>
      <c r="E1" s="1"/>
      <c r="F1" s="1"/>
      <c r="G1" s="1"/>
      <c r="H1" s="22" t="s">
        <v>36</v>
      </c>
    </row>
    <row r="2" customFormat="false" ht="18" hidden="false" customHeight="true" outlineLevel="0" collapsed="false">
      <c r="A2" s="1"/>
      <c r="B2" s="23" t="s">
        <v>56</v>
      </c>
      <c r="C2" s="1"/>
      <c r="D2" s="1"/>
      <c r="E2" s="1"/>
      <c r="F2" s="1"/>
      <c r="G2" s="1"/>
      <c r="H2" s="1"/>
    </row>
    <row r="4" customFormat="false" ht="15.75" hidden="false" customHeight="true" outlineLevel="0" collapsed="false">
      <c r="B4" s="24" t="s">
        <v>57</v>
      </c>
      <c r="C4" s="1"/>
      <c r="D4" s="1"/>
      <c r="E4" s="1"/>
      <c r="F4" s="1"/>
      <c r="G4" s="1"/>
      <c r="H4" s="1"/>
    </row>
    <row r="5" customFormat="false" ht="23.85" hidden="false" customHeight="false" outlineLevel="0" collapsed="false">
      <c r="B5" s="28" t="s">
        <v>58</v>
      </c>
      <c r="C5" s="28" t="s">
        <v>59</v>
      </c>
      <c r="D5" s="28" t="s">
        <v>60</v>
      </c>
      <c r="E5" s="28" t="s">
        <v>61</v>
      </c>
      <c r="F5" s="28" t="s">
        <v>62</v>
      </c>
      <c r="G5" s="28" t="s">
        <v>63</v>
      </c>
      <c r="H5" s="28" t="s">
        <v>64</v>
      </c>
    </row>
    <row r="6" customFormat="false" ht="15" hidden="false" customHeight="false" outlineLevel="0" collapsed="false">
      <c r="B6" s="20" t="s">
        <v>65</v>
      </c>
      <c r="C6" s="26" t="n">
        <f aca="false">Inputs!$C$6</f>
        <v>1971.8</v>
      </c>
      <c r="D6" s="26" t="n">
        <f aca="false">AVERAGE(C6,E6)</f>
        <v>2588.05</v>
      </c>
      <c r="E6" s="26" t="n">
        <f aca="false">Inputs!$C$7</f>
        <v>3204.3</v>
      </c>
      <c r="F6" s="29" t="n">
        <v>0</v>
      </c>
      <c r="G6" s="30" t="n">
        <f aca="false">C6</f>
        <v>1971.8</v>
      </c>
      <c r="H6" s="30" t="n">
        <f aca="false">E6-C6</f>
        <v>1232.5</v>
      </c>
    </row>
    <row r="7" customFormat="false" ht="15" hidden="false" customHeight="false" outlineLevel="0" collapsed="false">
      <c r="B7" s="20" t="s">
        <v>66</v>
      </c>
      <c r="C7" s="26" t="n">
        <f aca="false">Inputs!$C$8</f>
        <v>1800</v>
      </c>
      <c r="D7" s="26" t="n">
        <f aca="false">Inputs!$C$9</f>
        <v>2400</v>
      </c>
      <c r="E7" s="26" t="n">
        <f aca="false">Inputs!$C$10</f>
        <v>3480</v>
      </c>
      <c r="F7" s="29" t="n">
        <v>0.1</v>
      </c>
      <c r="G7" s="30" t="n">
        <f aca="false">C7</f>
        <v>1800</v>
      </c>
      <c r="H7" s="30" t="n">
        <f aca="false">E7-C7</f>
        <v>1680</v>
      </c>
    </row>
    <row r="8" customFormat="false" ht="15" hidden="false" customHeight="false" outlineLevel="0" collapsed="false">
      <c r="B8" s="20" t="s">
        <v>67</v>
      </c>
      <c r="C8" s="26" t="n">
        <f aca="false">Inputs!$C$38</f>
        <v>1652</v>
      </c>
      <c r="D8" s="26" t="n">
        <f aca="false">Inputs!$C$39</f>
        <v>1848</v>
      </c>
      <c r="E8" s="26" t="n">
        <f aca="false">Inputs!$C$40</f>
        <v>2478</v>
      </c>
      <c r="F8" s="29" t="n">
        <v>0.35</v>
      </c>
      <c r="G8" s="30" t="n">
        <f aca="false">C8</f>
        <v>1652</v>
      </c>
      <c r="H8" s="30" t="n">
        <f aca="false">E8-C8</f>
        <v>826</v>
      </c>
    </row>
    <row r="9" customFormat="false" ht="15" hidden="false" customHeight="false" outlineLevel="0" collapsed="false">
      <c r="B9" s="20" t="s">
        <v>68</v>
      </c>
      <c r="C9" s="26" t="n">
        <f aca="false">Inputs!$C$41</f>
        <v>1428</v>
      </c>
      <c r="D9" s="26" t="n">
        <f aca="false">Inputs!$C$42</f>
        <v>2026</v>
      </c>
      <c r="E9" s="26" t="n">
        <f aca="false">Inputs!$C$43</f>
        <v>2682</v>
      </c>
      <c r="F9" s="29" t="n">
        <v>0.15</v>
      </c>
      <c r="G9" s="30" t="n">
        <f aca="false">C9</f>
        <v>1428</v>
      </c>
      <c r="H9" s="30" t="n">
        <f aca="false">E9-C9</f>
        <v>1254</v>
      </c>
    </row>
    <row r="10" customFormat="false" ht="15" hidden="false" customHeight="false" outlineLevel="0" collapsed="false">
      <c r="B10" s="20" t="s">
        <v>69</v>
      </c>
      <c r="C10" s="26" t="n">
        <f aca="false">DCF!C40</f>
        <v>1698.43788421797</v>
      </c>
      <c r="D10" s="26" t="n">
        <f aca="false">DCF!D40</f>
        <v>2272.14619248098</v>
      </c>
      <c r="E10" s="26" t="n">
        <f aca="false">DCF!E40</f>
        <v>2763.23877693509</v>
      </c>
      <c r="F10" s="29" t="n">
        <v>0.4</v>
      </c>
      <c r="G10" s="30" t="n">
        <f aca="false">C10</f>
        <v>1698.43788421797</v>
      </c>
      <c r="H10" s="30" t="n">
        <f aca="false">E10-C10</f>
        <v>1064.80089271712</v>
      </c>
    </row>
    <row r="11" customFormat="false" ht="15" hidden="false" customHeight="false" outlineLevel="0" collapsed="false">
      <c r="B11" s="5" t="s">
        <v>70</v>
      </c>
      <c r="F11" s="31" t="n">
        <f aca="false">SUM(F6:F10)</f>
        <v>1</v>
      </c>
    </row>
    <row r="13" customFormat="false" ht="15.75" hidden="false" customHeight="true" outlineLevel="0" collapsed="false">
      <c r="B13" s="24" t="s">
        <v>71</v>
      </c>
      <c r="C13" s="1"/>
      <c r="D13" s="1"/>
      <c r="E13" s="1"/>
      <c r="F13" s="1"/>
      <c r="G13" s="1"/>
      <c r="H13" s="1"/>
    </row>
    <row r="14" customFormat="false" ht="15" hidden="false" customHeight="false" outlineLevel="0" collapsed="false">
      <c r="B14" s="20" t="s">
        <v>72</v>
      </c>
      <c r="C14" s="30" t="n">
        <f aca="false">SUMPRODUCT(C6:C10,F6:F10)/SUM(F6:F10)</f>
        <v>1651.77515368719</v>
      </c>
    </row>
    <row r="15" customFormat="false" ht="15" hidden="false" customHeight="false" outlineLevel="0" collapsed="false">
      <c r="B15" s="25" t="s">
        <v>73</v>
      </c>
      <c r="C15" s="30" t="n">
        <f aca="false">SUMPRODUCT(D6:D10,F6:F10)/SUM(F6:F10)</f>
        <v>2099.55847699239</v>
      </c>
    </row>
    <row r="16" customFormat="false" ht="15" hidden="false" customHeight="false" outlineLevel="0" collapsed="false">
      <c r="B16" s="20" t="s">
        <v>74</v>
      </c>
      <c r="C16" s="30" t="n">
        <f aca="false">SUMPRODUCT(E6:E10,F6:F10)/SUM(F6:F10)</f>
        <v>2722.89551077404</v>
      </c>
    </row>
    <row r="17" customFormat="false" ht="15" hidden="false" customHeight="false" outlineLevel="0" collapsed="false">
      <c r="B17" s="20" t="s">
        <v>75</v>
      </c>
      <c r="C17" s="30" t="n">
        <f aca="false">Inputs!$C$5</f>
        <v>2200.8</v>
      </c>
    </row>
    <row r="18" customFormat="false" ht="15" hidden="false" customHeight="false" outlineLevel="0" collapsed="false">
      <c r="B18" s="25" t="s">
        <v>52</v>
      </c>
      <c r="C18" s="31" t="n">
        <f aca="false">C15/C17-1</f>
        <v>-0.0460021460412622</v>
      </c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Summary&amp;R&amp;"Arial,Regular"&amp;8Ranges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6"/>
    <col collapsed="false" customWidth="true" hidden="false" outlineLevel="0" max="9" min="3" style="0" width="12"/>
  </cols>
  <sheetData>
    <row r="1" customFormat="false" ht="30" hidden="false" customHeight="true" outlineLevel="0" collapsed="false">
      <c r="A1" s="1"/>
      <c r="B1" s="21" t="s">
        <v>35</v>
      </c>
      <c r="C1" s="1"/>
      <c r="D1" s="1"/>
      <c r="E1" s="1"/>
      <c r="F1" s="1"/>
      <c r="G1" s="1"/>
      <c r="H1" s="1"/>
      <c r="I1" s="22" t="s">
        <v>36</v>
      </c>
    </row>
    <row r="2" customFormat="false" ht="18" hidden="false" customHeight="true" outlineLevel="0" collapsed="false">
      <c r="A2" s="1"/>
      <c r="B2" s="23" t="s">
        <v>76</v>
      </c>
      <c r="C2" s="1"/>
      <c r="D2" s="1"/>
      <c r="E2" s="1"/>
      <c r="F2" s="1"/>
      <c r="G2" s="1"/>
      <c r="H2" s="1"/>
      <c r="I2" s="1"/>
    </row>
    <row r="4" customFormat="false" ht="15.75" hidden="false" customHeight="true" outlineLevel="0" collapsed="false">
      <c r="B4" s="24" t="s">
        <v>77</v>
      </c>
      <c r="C4" s="1"/>
      <c r="D4" s="1"/>
      <c r="E4" s="1"/>
      <c r="F4" s="1"/>
      <c r="G4" s="1"/>
      <c r="H4" s="1"/>
      <c r="I4" s="1"/>
    </row>
    <row r="5" customFormat="false" ht="15" hidden="false" customHeight="false" outlineLevel="0" collapsed="false">
      <c r="B5" s="20" t="s">
        <v>78</v>
      </c>
      <c r="C5" s="31" t="n">
        <f aca="false">Inputs!$C$28+Inputs!$C$30*Inputs!$C$29</f>
        <v>0.1275</v>
      </c>
    </row>
    <row r="6" customFormat="false" ht="15" hidden="false" customHeight="false" outlineLevel="0" collapsed="false">
      <c r="B6" s="20" t="s">
        <v>79</v>
      </c>
      <c r="C6" s="31" t="n">
        <f aca="false">Inputs!$C$31*(1-Inputs!$C$24)</f>
        <v>0.056625</v>
      </c>
    </row>
    <row r="7" customFormat="false" ht="15" hidden="false" customHeight="false" outlineLevel="0" collapsed="false">
      <c r="B7" s="25" t="s">
        <v>77</v>
      </c>
      <c r="C7" s="32" t="n">
        <f aca="false">(1-Inputs!$C$32)*C5+Inputs!$C$32*C6</f>
        <v>0.1260825</v>
      </c>
    </row>
    <row r="9" customFormat="false" ht="15.75" hidden="false" customHeight="true" outlineLevel="0" collapsed="false">
      <c r="B9" s="24" t="s">
        <v>80</v>
      </c>
      <c r="C9" s="1"/>
      <c r="D9" s="1"/>
      <c r="E9" s="1"/>
      <c r="F9" s="1"/>
      <c r="G9" s="1"/>
      <c r="H9" s="1"/>
      <c r="I9" s="1"/>
    </row>
    <row r="10" customFormat="false" ht="18" hidden="false" customHeight="true" outlineLevel="0" collapsed="false">
      <c r="B10" s="25"/>
      <c r="C10" s="33" t="s">
        <v>81</v>
      </c>
      <c r="D10" s="33" t="s">
        <v>82</v>
      </c>
      <c r="E10" s="33" t="s">
        <v>83</v>
      </c>
      <c r="F10" s="33" t="s">
        <v>84</v>
      </c>
      <c r="G10" s="33" t="s">
        <v>85</v>
      </c>
      <c r="H10" s="33" t="s">
        <v>86</v>
      </c>
    </row>
    <row r="11" customFormat="false" ht="15" hidden="false" customHeight="false" outlineLevel="0" collapsed="false">
      <c r="B11" s="20" t="s">
        <v>87</v>
      </c>
      <c r="C11" s="31"/>
      <c r="D11" s="31" t="n">
        <f aca="false">Inputs!$C$21</f>
        <v>0.05</v>
      </c>
      <c r="E11" s="31" t="n">
        <f aca="false">Inputs!$C$22-(Inputs!$C$22-Inputs!$C$33)*1/4</f>
        <v>0.04375</v>
      </c>
      <c r="F11" s="31" t="n">
        <f aca="false">Inputs!$C$22-(Inputs!$C$22-Inputs!$C$33)*2/4</f>
        <v>0.0425</v>
      </c>
      <c r="G11" s="31" t="n">
        <f aca="false">Inputs!$C$22-(Inputs!$C$22-Inputs!$C$33)*3/4</f>
        <v>0.04125</v>
      </c>
      <c r="H11" s="31" t="n">
        <f aca="false">Inputs!$C$22-(Inputs!$C$22-Inputs!$C$33)*4/4</f>
        <v>0.04</v>
      </c>
    </row>
    <row r="12" customFormat="false" ht="15" hidden="false" customHeight="false" outlineLevel="0" collapsed="false">
      <c r="B12" s="20" t="s">
        <v>88</v>
      </c>
      <c r="C12" s="26" t="n">
        <f aca="false">Inputs!$C$14</f>
        <v>267021</v>
      </c>
      <c r="D12" s="30" t="n">
        <f aca="false">C12*(1+D11)</f>
        <v>280372.05</v>
      </c>
      <c r="E12" s="30" t="n">
        <f aca="false">D12*(1+E11)</f>
        <v>292638.3271875</v>
      </c>
      <c r="F12" s="30" t="n">
        <f aca="false">E12*(1+F11)</f>
        <v>305075.456092969</v>
      </c>
      <c r="G12" s="30" t="n">
        <f aca="false">F12*(1+G11)</f>
        <v>317659.818656804</v>
      </c>
      <c r="H12" s="30" t="n">
        <f aca="false">G12*(1+H11)</f>
        <v>330366.211403076</v>
      </c>
    </row>
    <row r="13" customFormat="false" ht="15" hidden="false" customHeight="false" outlineLevel="0" collapsed="false">
      <c r="B13" s="20" t="s">
        <v>89</v>
      </c>
      <c r="C13" s="26" t="n">
        <f aca="false">Inputs!$C$15</f>
        <v>66714</v>
      </c>
      <c r="D13" s="30" t="n">
        <f aca="false">D12*Inputs!$C$23</f>
        <v>68691.15225</v>
      </c>
      <c r="E13" s="30" t="n">
        <f aca="false">E12*Inputs!$C$23</f>
        <v>71696.3901609375</v>
      </c>
      <c r="F13" s="30" t="n">
        <f aca="false">F12*Inputs!$C$23</f>
        <v>74743.4867427773</v>
      </c>
      <c r="G13" s="30" t="n">
        <f aca="false">G12*Inputs!$C$23</f>
        <v>77826.6555709169</v>
      </c>
      <c r="H13" s="30" t="n">
        <f aca="false">H12*Inputs!$C$23</f>
        <v>80939.7217937536</v>
      </c>
    </row>
    <row r="14" customFormat="false" ht="15" hidden="false" customHeight="false" outlineLevel="0" collapsed="false">
      <c r="B14" s="20" t="s">
        <v>90</v>
      </c>
      <c r="C14" s="30" t="n">
        <f aca="false">-C13*Inputs!$C$24</f>
        <v>-16344.93</v>
      </c>
      <c r="D14" s="30" t="n">
        <f aca="false">-D13*Inputs!$C$24</f>
        <v>-16829.33230125</v>
      </c>
      <c r="E14" s="30" t="n">
        <f aca="false">-E13*Inputs!$C$24</f>
        <v>-17565.6155894297</v>
      </c>
      <c r="F14" s="30" t="n">
        <f aca="false">-F13*Inputs!$C$24</f>
        <v>-18312.1542519804</v>
      </c>
      <c r="G14" s="30" t="n">
        <f aca="false">-G13*Inputs!$C$24</f>
        <v>-19067.5306148746</v>
      </c>
      <c r="H14" s="30" t="n">
        <f aca="false">-H13*Inputs!$C$24</f>
        <v>-19830.2318394696</v>
      </c>
    </row>
    <row r="15" customFormat="false" ht="15" hidden="false" customHeight="false" outlineLevel="0" collapsed="false">
      <c r="B15" s="20" t="s">
        <v>91</v>
      </c>
      <c r="C15" s="26" t="n">
        <f aca="false">Inputs!$C$16</f>
        <v>5560</v>
      </c>
      <c r="D15" s="30" t="n">
        <f aca="false">D12*Inputs!$C$25</f>
        <v>5887.81305</v>
      </c>
      <c r="E15" s="30" t="n">
        <f aca="false">E12*Inputs!$C$25</f>
        <v>6145.4048709375</v>
      </c>
      <c r="F15" s="30" t="n">
        <f aca="false">F12*Inputs!$C$25</f>
        <v>6406.58457795234</v>
      </c>
      <c r="G15" s="30" t="n">
        <f aca="false">G12*Inputs!$C$25</f>
        <v>6670.85619179288</v>
      </c>
      <c r="H15" s="30" t="n">
        <f aca="false">H12*Inputs!$C$25</f>
        <v>6937.69043946459</v>
      </c>
    </row>
    <row r="16" customFormat="false" ht="15" hidden="false" customHeight="false" outlineLevel="0" collapsed="false">
      <c r="B16" s="20" t="s">
        <v>92</v>
      </c>
      <c r="C16" s="30" t="n">
        <f aca="false">-Inputs!$C$17</f>
        <v>-4146</v>
      </c>
      <c r="D16" s="30" t="n">
        <f aca="false">-D12*Inputs!$C$26</f>
        <v>-4485.9528</v>
      </c>
      <c r="E16" s="30" t="n">
        <f aca="false">-E12*Inputs!$C$26</f>
        <v>-4682.213235</v>
      </c>
      <c r="F16" s="30" t="n">
        <f aca="false">-F12*Inputs!$C$26</f>
        <v>-4881.2072974875</v>
      </c>
      <c r="G16" s="30" t="n">
        <f aca="false">-G12*Inputs!$C$26</f>
        <v>-5082.55709850886</v>
      </c>
      <c r="H16" s="30" t="n">
        <f aca="false">-H12*Inputs!$C$26</f>
        <v>-5285.85938244921</v>
      </c>
    </row>
    <row r="17" customFormat="false" ht="15" hidden="false" customHeight="false" outlineLevel="0" collapsed="false">
      <c r="B17" s="20" t="s">
        <v>93</v>
      </c>
      <c r="C17" s="30"/>
      <c r="D17" s="30" t="n">
        <f aca="false">-(D12-C12)*Inputs!$C$27</f>
        <v>-2002.6575</v>
      </c>
      <c r="E17" s="30" t="n">
        <f aca="false">-(E12-D12)*Inputs!$C$27</f>
        <v>-1839.941578125</v>
      </c>
      <c r="F17" s="30" t="n">
        <f aca="false">-(F12-E12)*Inputs!$C$27</f>
        <v>-1865.56933582031</v>
      </c>
      <c r="G17" s="30" t="n">
        <f aca="false">-(G12-F12)*Inputs!$C$27</f>
        <v>-1887.65438457524</v>
      </c>
      <c r="H17" s="30" t="n">
        <f aca="false">-(H12-G12)*Inputs!$C$27</f>
        <v>-1905.95891194082</v>
      </c>
    </row>
    <row r="18" customFormat="false" ht="15" hidden="false" customHeight="false" outlineLevel="0" collapsed="false">
      <c r="B18" s="25" t="s">
        <v>94</v>
      </c>
      <c r="C18" s="30"/>
      <c r="D18" s="34" t="n">
        <f aca="false">D13+D14+D15+D16+D17</f>
        <v>51261.02269875</v>
      </c>
      <c r="E18" s="34" t="n">
        <f aca="false">E13+E14+E15+E16+E17</f>
        <v>53754.0246293203</v>
      </c>
      <c r="F18" s="34" t="n">
        <f aca="false">F13+F14+F15+F16+F17</f>
        <v>56091.1404354414</v>
      </c>
      <c r="G18" s="34" t="n">
        <f aca="false">G13+G14+G15+G16+G17</f>
        <v>58459.769664751</v>
      </c>
      <c r="H18" s="34" t="n">
        <f aca="false">H13+H14+H15+H16+H17</f>
        <v>60855.3620993585</v>
      </c>
    </row>
    <row r="19" customFormat="false" ht="15" hidden="false" customHeight="false" outlineLevel="0" collapsed="false">
      <c r="B19" s="20" t="s">
        <v>95</v>
      </c>
      <c r="C19" s="35"/>
      <c r="D19" s="35" t="n">
        <f aca="false">1-0.45-0.5*Inputs!$C$35</f>
        <v>0.05</v>
      </c>
      <c r="E19" s="35" t="n">
        <f aca="false">2-0.45-0.5*Inputs!$C$35</f>
        <v>1.05</v>
      </c>
      <c r="F19" s="35" t="n">
        <f aca="false">3-0.45-0.5*Inputs!$C$35</f>
        <v>2.05</v>
      </c>
      <c r="G19" s="35" t="n">
        <f aca="false">4-0.45-0.5*Inputs!$C$35</f>
        <v>3.05</v>
      </c>
      <c r="H19" s="35" t="n">
        <f aca="false">5-0.45-0.5*Inputs!$C$35</f>
        <v>4.05</v>
      </c>
    </row>
    <row r="20" customFormat="false" ht="15" hidden="false" customHeight="false" outlineLevel="0" collapsed="false">
      <c r="B20" s="20" t="s">
        <v>96</v>
      </c>
      <c r="C20" s="36"/>
      <c r="D20" s="36" t="n">
        <f aca="false">1/(1+DCF!$C$7)^D19</f>
        <v>0.994080350815641</v>
      </c>
      <c r="E20" s="36" t="n">
        <f aca="false">1/(1+DCF!$C$7)^E19</f>
        <v>0.882777550326589</v>
      </c>
      <c r="F20" s="36" t="n">
        <f aca="false">1/(1+DCF!$C$7)^F19</f>
        <v>0.783936834402976</v>
      </c>
      <c r="G20" s="36" t="n">
        <f aca="false">1/(1+DCF!$C$7)^G19</f>
        <v>0.696162878299748</v>
      </c>
      <c r="H20" s="36" t="n">
        <f aca="false">1/(1+DCF!$C$7)^H19</f>
        <v>0.618216585640704</v>
      </c>
    </row>
    <row r="21" customFormat="false" ht="15" hidden="false" customHeight="false" outlineLevel="0" collapsed="false">
      <c r="B21" s="25" t="s">
        <v>97</v>
      </c>
      <c r="C21" s="30"/>
      <c r="D21" s="37" t="n">
        <f aca="false">D18*D20</f>
        <v>50957.5754275419</v>
      </c>
      <c r="E21" s="37" t="n">
        <f aca="false">E18*E20</f>
        <v>47452.8461824665</v>
      </c>
      <c r="F21" s="37" t="n">
        <f aca="false">F18*F20</f>
        <v>43971.9110710127</v>
      </c>
      <c r="G21" s="37" t="n">
        <f aca="false">G18*G20</f>
        <v>40697.5215145534</v>
      </c>
      <c r="H21" s="37" t="n">
        <f aca="false">H18*H20</f>
        <v>37621.7941749941</v>
      </c>
    </row>
    <row r="23" customFormat="false" ht="15.75" hidden="false" customHeight="true" outlineLevel="0" collapsed="false">
      <c r="B23" s="24" t="s">
        <v>98</v>
      </c>
      <c r="C23" s="1"/>
      <c r="D23" s="1"/>
      <c r="E23" s="1"/>
      <c r="F23" s="1"/>
      <c r="G23" s="1"/>
      <c r="H23" s="1"/>
      <c r="I23" s="1"/>
    </row>
    <row r="24" customFormat="false" ht="15" hidden="false" customHeight="false" outlineLevel="0" collapsed="false">
      <c r="C24" s="38" t="s">
        <v>99</v>
      </c>
      <c r="E24" s="38" t="s">
        <v>100</v>
      </c>
    </row>
    <row r="25" customFormat="false" ht="15" hidden="false" customHeight="false" outlineLevel="0" collapsed="false">
      <c r="B25" s="20" t="s">
        <v>101</v>
      </c>
      <c r="C25" s="30" t="n">
        <f aca="false">H18*(1+Inputs!$C$33)/(DCF!$C$7-Inputs!$C$33)</f>
        <v>735220.010842306</v>
      </c>
      <c r="E25" s="30" t="n">
        <f aca="false">(H13+H15)*Inputs!$C$34</f>
        <v>1230283.77126505</v>
      </c>
    </row>
    <row r="26" customFormat="false" ht="15" hidden="false" customHeight="false" outlineLevel="0" collapsed="false">
      <c r="B26" s="20" t="s">
        <v>102</v>
      </c>
      <c r="C26" s="30" t="n">
        <f aca="false">C25/(1+DCF!$C$7)^(H19+0.5*Inputs!$C$35)</f>
        <v>428324.450605664</v>
      </c>
      <c r="E26" s="30" t="n">
        <f aca="false">E25/(1+DCF!$C$7)^(H19+0.5*Inputs!$C$35)</f>
        <v>716738.680456283</v>
      </c>
    </row>
    <row r="27" customFormat="false" ht="15" hidden="false" customHeight="false" outlineLevel="0" collapsed="false">
      <c r="B27" s="20" t="s">
        <v>103</v>
      </c>
      <c r="C27" s="30" t="n">
        <f aca="false">SUM(D21:H21)</f>
        <v>220701.648370569</v>
      </c>
      <c r="E27" s="30" t="n">
        <f aca="false">C27</f>
        <v>220701.648370569</v>
      </c>
    </row>
    <row r="28" customFormat="false" ht="15" hidden="false" customHeight="false" outlineLevel="0" collapsed="false">
      <c r="B28" s="25" t="s">
        <v>104</v>
      </c>
      <c r="C28" s="37" t="n">
        <f aca="false">C26+C27</f>
        <v>649026.098976233</v>
      </c>
      <c r="E28" s="37" t="n">
        <f aca="false">E26+E27</f>
        <v>937440.328826851</v>
      </c>
    </row>
    <row r="29" customFormat="false" ht="15" hidden="false" customHeight="false" outlineLevel="0" collapsed="false">
      <c r="B29" s="20" t="s">
        <v>105</v>
      </c>
      <c r="C29" s="31" t="n">
        <f aca="false">C26/C28</f>
        <v>0.659949501693844</v>
      </c>
      <c r="E29" s="31" t="n">
        <f aca="false">E26/E28</f>
        <v>0.764569923456608</v>
      </c>
    </row>
    <row r="30" customFormat="false" ht="15" hidden="false" customHeight="false" outlineLevel="0" collapsed="false">
      <c r="B30" s="20" t="s">
        <v>106</v>
      </c>
      <c r="C30" s="30" t="n">
        <f aca="false">Inputs!$C$18</f>
        <v>41373</v>
      </c>
      <c r="E30" s="30" t="n">
        <f aca="false">Inputs!$C$18</f>
        <v>41373</v>
      </c>
    </row>
    <row r="31" customFormat="false" ht="15" hidden="false" customHeight="false" outlineLevel="0" collapsed="false">
      <c r="B31" s="20" t="s">
        <v>107</v>
      </c>
      <c r="C31" s="30" t="n">
        <f aca="false">-Inputs!$C$19-Inputs!$C$20</f>
        <v>-12521</v>
      </c>
      <c r="E31" s="30" t="n">
        <f aca="false">-Inputs!$C$19-Inputs!$C$20</f>
        <v>-12521</v>
      </c>
    </row>
    <row r="32" customFormat="false" ht="15" hidden="false" customHeight="false" outlineLevel="0" collapsed="false">
      <c r="B32" s="25" t="s">
        <v>108</v>
      </c>
      <c r="C32" s="37" t="n">
        <f aca="false">C28+C30+C31</f>
        <v>677878.098976233</v>
      </c>
      <c r="E32" s="37" t="n">
        <f aca="false">E28+E30+E31</f>
        <v>966292.328826851</v>
      </c>
    </row>
    <row r="33" customFormat="false" ht="15" hidden="false" customHeight="false" outlineLevel="0" collapsed="false">
      <c r="B33" s="25" t="s">
        <v>109</v>
      </c>
      <c r="C33" s="34" t="n">
        <f aca="false">C32/Inputs!$C$11</f>
        <v>1873.57480162581</v>
      </c>
      <c r="E33" s="34" t="n">
        <f aca="false">E32/Inputs!$C$11</f>
        <v>2670.71758333615</v>
      </c>
    </row>
    <row r="34" customFormat="false" ht="15" hidden="false" customHeight="false" outlineLevel="0" collapsed="false">
      <c r="B34" s="20" t="s">
        <v>110</v>
      </c>
      <c r="C34" s="39" t="n">
        <f aca="false">C25/(H13+H15)</f>
        <v>8.36642764230589</v>
      </c>
      <c r="E34" s="31" t="n">
        <f aca="false">(DCF!$C$7*E25-H18)/(E25+H18)</f>
        <v>0.0730067651543818</v>
      </c>
    </row>
    <row r="36" customFormat="false" ht="15.75" hidden="false" customHeight="true" outlineLevel="0" collapsed="false">
      <c r="B36" s="24" t="s">
        <v>111</v>
      </c>
      <c r="C36" s="1"/>
      <c r="D36" s="1"/>
      <c r="E36" s="1"/>
      <c r="F36" s="1"/>
      <c r="G36" s="1"/>
      <c r="H36" s="1"/>
      <c r="I36" s="1"/>
    </row>
    <row r="37" customFormat="false" ht="15" hidden="false" customHeight="false" outlineLevel="0" collapsed="false">
      <c r="B37" s="38"/>
      <c r="C37" s="38" t="s">
        <v>112</v>
      </c>
      <c r="D37" s="38" t="s">
        <v>113</v>
      </c>
      <c r="E37" s="38" t="s">
        <v>114</v>
      </c>
    </row>
    <row r="38" customFormat="false" ht="15" hidden="false" customHeight="false" outlineLevel="0" collapsed="false">
      <c r="B38" s="20" t="s">
        <v>99</v>
      </c>
      <c r="C38" s="30" t="n">
        <f aca="false">(SUMPRODUCT(DCF!$D$18:$H$18,1/(1+(DCF!$C$7-0.01))^DCF!$D$19:$H$19)+DCF!$H$18*(1+Inputs!$C$33)/((DCF!$C$7-0.01)-Inputs!$C$33)/(1+(DCF!$C$7-0.01))^(H19+0.5*Inputs!$C$35)+Inputs!$C$18-Inputs!$C$19-Inputs!$C$20)/Inputs!$C$11</f>
        <v>2095.12193689737</v>
      </c>
      <c r="D38" s="30" t="n">
        <f aca="false">(SUMPRODUCT(DCF!$D$18:$H$18,1/(1+DCF!$C$7)^DCF!$D$19:$H$19)+DCF!$H$18*(1+Inputs!$C$33)/(DCF!$C$7-Inputs!$C$33)/(1+DCF!$C$7)^(H19+0.5*Inputs!$C$35)+Inputs!$C$18-Inputs!$C$19-Inputs!$C$20)/Inputs!$C$11</f>
        <v>1873.5748016258</v>
      </c>
      <c r="E38" s="30" t="n">
        <f aca="false">(SUMPRODUCT(DCF!$D$18:$H$18,1/(1+(DCF!$C$7+0.01))^DCF!$D$19:$H$19)+DCF!$H$18*(1+Inputs!$C$33)/((DCF!$C$7+0.01)-Inputs!$C$33)/(1+(DCF!$C$7+0.01))^(H19+0.5*Inputs!$C$35)+Inputs!$C$18-Inputs!$C$19-Inputs!$C$20)/Inputs!$C$11</f>
        <v>1698.43788421797</v>
      </c>
    </row>
    <row r="39" customFormat="false" ht="15" hidden="false" customHeight="false" outlineLevel="0" collapsed="false">
      <c r="B39" s="20" t="s">
        <v>100</v>
      </c>
      <c r="C39" s="30" t="n">
        <f aca="false">(SUMPRODUCT(DCF!$D$18:$H$18,1/(1+(DCF!$C$7-0.01))^DCF!$D$19:$H$19)+(DCF!$H$13+DCF!$H$15)*Inputs!$C$34/(1+(DCF!$C$7-0.01))^(H19+0.5*Inputs!$C$35)+Inputs!$C$18-Inputs!$C$19-Inputs!$C$20)/Inputs!$C$11</f>
        <v>2763.23877693509</v>
      </c>
      <c r="D39" s="30" t="n">
        <f aca="false">(SUMPRODUCT(DCF!$D$18:$H$18,1/(1+DCF!$C$7)^DCF!$D$19:$H$19)+(DCF!$H$13+DCF!$H$15)*Inputs!$C$34/(1+DCF!$C$7)^(H19+0.5*Inputs!$C$35)+Inputs!$C$18-Inputs!$C$19-Inputs!$C$20)/Inputs!$C$11</f>
        <v>2670.71758333615</v>
      </c>
      <c r="E39" s="30" t="n">
        <f aca="false">(SUMPRODUCT(DCF!$D$18:$H$18,1/(1+(DCF!$C$7+0.01))^DCF!$D$19:$H$19)+(DCF!$H$13+DCF!$H$15)*Inputs!$C$34/(1+(DCF!$C$7+0.01))^(H19+0.5*Inputs!$C$35)+Inputs!$C$18-Inputs!$C$19-Inputs!$C$20)/Inputs!$C$11</f>
        <v>2582.50278184538</v>
      </c>
    </row>
    <row r="40" customFormat="false" ht="15" hidden="false" customHeight="false" outlineLevel="0" collapsed="false">
      <c r="B40" s="25" t="s">
        <v>115</v>
      </c>
      <c r="C40" s="37" t="n">
        <f aca="false">MIN(C38:E39)</f>
        <v>1698.43788421797</v>
      </c>
      <c r="D40" s="37" t="n">
        <f aca="false">AVERAGE(D38:D39)</f>
        <v>2272.14619248098</v>
      </c>
      <c r="E40" s="37" t="n">
        <f aca="false">MAX(C38:E39)</f>
        <v>2763.23877693509</v>
      </c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Summary&amp;R&amp;"Arial,Regular"&amp;8DCF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50"/>
    <col collapsed="false" customWidth="true" hidden="false" outlineLevel="0" max="5" min="3" style="0" width="12"/>
    <col collapsed="false" customWidth="true" hidden="false" outlineLevel="0" max="6" min="6" style="0" width="66"/>
  </cols>
  <sheetData>
    <row r="1" customFormat="false" ht="30" hidden="false" customHeight="true" outlineLevel="0" collapsed="false">
      <c r="A1" s="1"/>
      <c r="B1" s="21" t="s">
        <v>35</v>
      </c>
      <c r="C1" s="1"/>
      <c r="D1" s="1"/>
      <c r="E1" s="1"/>
      <c r="F1" s="22" t="s">
        <v>36</v>
      </c>
    </row>
    <row r="2" customFormat="false" ht="18" hidden="false" customHeight="true" outlineLevel="0" collapsed="false">
      <c r="A2" s="1"/>
      <c r="B2" s="23" t="s">
        <v>116</v>
      </c>
      <c r="C2" s="1"/>
      <c r="D2" s="1"/>
      <c r="E2" s="1"/>
      <c r="F2" s="1"/>
    </row>
    <row r="4" customFormat="false" ht="15.75" hidden="false" customHeight="true" outlineLevel="0" collapsed="false">
      <c r="B4" s="24" t="s">
        <v>117</v>
      </c>
      <c r="C4" s="1"/>
      <c r="D4" s="1"/>
      <c r="E4" s="1"/>
      <c r="F4" s="1"/>
    </row>
    <row r="5" customFormat="false" ht="15" hidden="false" customHeight="false" outlineLevel="0" collapsed="false">
      <c r="B5" s="20" t="s">
        <v>21</v>
      </c>
      <c r="C5" s="40" t="n">
        <v>2200.8</v>
      </c>
      <c r="F5" s="5" t="s">
        <v>118</v>
      </c>
    </row>
    <row r="6" customFormat="false" ht="15" hidden="false" customHeight="false" outlineLevel="0" collapsed="false">
      <c r="B6" s="20" t="s">
        <v>119</v>
      </c>
      <c r="C6" s="40" t="n">
        <v>1971.8</v>
      </c>
      <c r="F6" s="5" t="s">
        <v>120</v>
      </c>
    </row>
    <row r="7" customFormat="false" ht="15" hidden="false" customHeight="false" outlineLevel="0" collapsed="false">
      <c r="B7" s="20" t="s">
        <v>121</v>
      </c>
      <c r="C7" s="40" t="n">
        <v>3204.3</v>
      </c>
      <c r="F7" s="5"/>
    </row>
    <row r="8" customFormat="false" ht="15" hidden="false" customHeight="false" outlineLevel="0" collapsed="false">
      <c r="B8" s="20" t="s">
        <v>122</v>
      </c>
      <c r="C8" s="40" t="n">
        <v>1800</v>
      </c>
      <c r="F8" s="5" t="s">
        <v>123</v>
      </c>
    </row>
    <row r="9" customFormat="false" ht="15" hidden="false" customHeight="false" outlineLevel="0" collapsed="false">
      <c r="B9" s="20" t="s">
        <v>124</v>
      </c>
      <c r="C9" s="40" t="n">
        <v>2400</v>
      </c>
      <c r="F9" s="5"/>
    </row>
    <row r="10" customFormat="false" ht="15" hidden="false" customHeight="false" outlineLevel="0" collapsed="false">
      <c r="B10" s="20" t="s">
        <v>125</v>
      </c>
      <c r="C10" s="40" t="n">
        <v>3480</v>
      </c>
      <c r="F10" s="5"/>
    </row>
    <row r="11" customFormat="false" ht="15" hidden="false" customHeight="false" outlineLevel="0" collapsed="false">
      <c r="B11" s="20" t="s">
        <v>126</v>
      </c>
      <c r="C11" s="40" t="n">
        <v>361.81</v>
      </c>
      <c r="F11" s="5" t="s">
        <v>127</v>
      </c>
    </row>
    <row r="13" customFormat="false" ht="15.75" hidden="false" customHeight="true" outlineLevel="0" collapsed="false">
      <c r="B13" s="24" t="s">
        <v>128</v>
      </c>
      <c r="C13" s="1"/>
      <c r="D13" s="1"/>
      <c r="E13" s="1"/>
      <c r="F13" s="1"/>
    </row>
    <row r="14" customFormat="false" ht="15" hidden="false" customHeight="false" outlineLevel="0" collapsed="false">
      <c r="B14" s="20" t="s">
        <v>129</v>
      </c>
      <c r="C14" s="41" t="n">
        <v>267021</v>
      </c>
      <c r="F14" s="5" t="s">
        <v>130</v>
      </c>
    </row>
    <row r="15" customFormat="false" ht="15" hidden="false" customHeight="false" outlineLevel="0" collapsed="false">
      <c r="B15" s="20" t="s">
        <v>131</v>
      </c>
      <c r="C15" s="41" t="n">
        <v>66714</v>
      </c>
      <c r="F15" s="5" t="s">
        <v>132</v>
      </c>
    </row>
    <row r="16" customFormat="false" ht="15" hidden="false" customHeight="false" outlineLevel="0" collapsed="false">
      <c r="B16" s="20" t="s">
        <v>133</v>
      </c>
      <c r="C16" s="41" t="n">
        <v>5560</v>
      </c>
      <c r="F16" s="5"/>
    </row>
    <row r="17" customFormat="false" ht="15" hidden="false" customHeight="false" outlineLevel="0" collapsed="false">
      <c r="B17" s="20" t="s">
        <v>134</v>
      </c>
      <c r="C17" s="41" t="n">
        <v>4146</v>
      </c>
      <c r="F17" s="5"/>
    </row>
    <row r="18" customFormat="false" ht="15" hidden="false" customHeight="false" outlineLevel="0" collapsed="false">
      <c r="B18" s="20" t="s">
        <v>135</v>
      </c>
      <c r="C18" s="41" t="n">
        <v>41373</v>
      </c>
      <c r="F18" s="5" t="s">
        <v>136</v>
      </c>
    </row>
    <row r="19" customFormat="false" ht="15" hidden="false" customHeight="false" outlineLevel="0" collapsed="false">
      <c r="B19" s="20" t="s">
        <v>137</v>
      </c>
      <c r="C19" s="41" t="n">
        <v>11283</v>
      </c>
      <c r="F19" s="5" t="s">
        <v>138</v>
      </c>
    </row>
    <row r="20" customFormat="false" ht="15" hidden="false" customHeight="false" outlineLevel="0" collapsed="false">
      <c r="B20" s="20" t="s">
        <v>139</v>
      </c>
      <c r="C20" s="41" t="n">
        <v>1238</v>
      </c>
      <c r="F20" s="5"/>
    </row>
    <row r="21" customFormat="false" ht="15" hidden="false" customHeight="false" outlineLevel="0" collapsed="false">
      <c r="B21" s="20" t="s">
        <v>140</v>
      </c>
      <c r="C21" s="29" t="n">
        <v>0.05</v>
      </c>
      <c r="F21" s="5" t="s">
        <v>141</v>
      </c>
    </row>
    <row r="22" customFormat="false" ht="15" hidden="false" customHeight="false" outlineLevel="0" collapsed="false">
      <c r="B22" s="20" t="s">
        <v>142</v>
      </c>
      <c r="C22" s="29" t="n">
        <v>0.045</v>
      </c>
      <c r="F22" s="5" t="s">
        <v>143</v>
      </c>
    </row>
    <row r="23" customFormat="false" ht="15" hidden="false" customHeight="false" outlineLevel="0" collapsed="false">
      <c r="B23" s="20" t="s">
        <v>144</v>
      </c>
      <c r="C23" s="29" t="n">
        <v>0.245</v>
      </c>
      <c r="F23" s="5" t="s">
        <v>145</v>
      </c>
    </row>
    <row r="24" customFormat="false" ht="15" hidden="false" customHeight="false" outlineLevel="0" collapsed="false">
      <c r="B24" s="20" t="s">
        <v>146</v>
      </c>
      <c r="C24" s="29" t="n">
        <v>0.245</v>
      </c>
      <c r="F24" s="5" t="s">
        <v>147</v>
      </c>
    </row>
    <row r="25" customFormat="false" ht="15" hidden="false" customHeight="false" outlineLevel="0" collapsed="false">
      <c r="B25" s="20" t="s">
        <v>148</v>
      </c>
      <c r="C25" s="29" t="n">
        <v>0.021</v>
      </c>
      <c r="F25" s="5" t="s">
        <v>149</v>
      </c>
    </row>
    <row r="26" customFormat="false" ht="15" hidden="false" customHeight="false" outlineLevel="0" collapsed="false">
      <c r="B26" s="20" t="s">
        <v>150</v>
      </c>
      <c r="C26" s="29" t="n">
        <v>0.016</v>
      </c>
      <c r="F26" s="5" t="s">
        <v>151</v>
      </c>
    </row>
    <row r="27" customFormat="false" ht="15" hidden="false" customHeight="false" outlineLevel="0" collapsed="false">
      <c r="B27" s="20" t="s">
        <v>152</v>
      </c>
      <c r="C27" s="29" t="n">
        <v>0.15</v>
      </c>
      <c r="F27" s="5" t="s">
        <v>153</v>
      </c>
    </row>
    <row r="28" customFormat="false" ht="15" hidden="false" customHeight="false" outlineLevel="0" collapsed="false">
      <c r="B28" s="20" t="s">
        <v>154</v>
      </c>
      <c r="C28" s="29" t="n">
        <v>0.069</v>
      </c>
      <c r="F28" s="5" t="s">
        <v>155</v>
      </c>
    </row>
    <row r="29" customFormat="false" ht="15" hidden="false" customHeight="false" outlineLevel="0" collapsed="false">
      <c r="B29" s="20" t="s">
        <v>156</v>
      </c>
      <c r="C29" s="29" t="n">
        <v>0.065</v>
      </c>
      <c r="F29" s="5" t="s">
        <v>157</v>
      </c>
    </row>
    <row r="30" customFormat="false" ht="15" hidden="false" customHeight="false" outlineLevel="0" collapsed="false">
      <c r="B30" s="20" t="s">
        <v>158</v>
      </c>
      <c r="C30" s="42" t="n">
        <v>0.9</v>
      </c>
      <c r="F30" s="5" t="s">
        <v>159</v>
      </c>
    </row>
    <row r="31" customFormat="false" ht="15" hidden="false" customHeight="false" outlineLevel="0" collapsed="false">
      <c r="B31" s="20" t="s">
        <v>160</v>
      </c>
      <c r="C31" s="29" t="n">
        <v>0.075</v>
      </c>
      <c r="F31" s="5" t="s">
        <v>161</v>
      </c>
    </row>
    <row r="32" customFormat="false" ht="15" hidden="false" customHeight="false" outlineLevel="0" collapsed="false">
      <c r="B32" s="20" t="s">
        <v>162</v>
      </c>
      <c r="C32" s="29" t="n">
        <v>0.02</v>
      </c>
      <c r="F32" s="5" t="s">
        <v>163</v>
      </c>
    </row>
    <row r="33" customFormat="false" ht="15" hidden="false" customHeight="false" outlineLevel="0" collapsed="false">
      <c r="B33" s="20" t="s">
        <v>164</v>
      </c>
      <c r="C33" s="29" t="n">
        <v>0.04</v>
      </c>
      <c r="F33" s="5" t="s">
        <v>165</v>
      </c>
    </row>
    <row r="34" customFormat="false" ht="15" hidden="false" customHeight="false" outlineLevel="0" collapsed="false">
      <c r="B34" s="20" t="s">
        <v>166</v>
      </c>
      <c r="C34" s="43" t="n">
        <v>14</v>
      </c>
      <c r="F34" s="5" t="s">
        <v>167</v>
      </c>
    </row>
    <row r="35" customFormat="false" ht="15" hidden="false" customHeight="false" outlineLevel="0" collapsed="false">
      <c r="B35" s="20" t="s">
        <v>168</v>
      </c>
      <c r="C35" s="15" t="n">
        <v>1</v>
      </c>
      <c r="F35" s="5"/>
    </row>
    <row r="37" customFormat="false" ht="15.75" hidden="false" customHeight="true" outlineLevel="0" collapsed="false">
      <c r="B37" s="24" t="s">
        <v>169</v>
      </c>
      <c r="C37" s="1"/>
      <c r="D37" s="1"/>
      <c r="E37" s="1"/>
      <c r="F37" s="1"/>
    </row>
    <row r="38" customFormat="false" ht="15" hidden="false" customHeight="false" outlineLevel="0" collapsed="false">
      <c r="B38" s="20" t="s">
        <v>170</v>
      </c>
      <c r="C38" s="41" t="n">
        <v>1652</v>
      </c>
      <c r="F38" s="5" t="s">
        <v>171</v>
      </c>
    </row>
    <row r="39" customFormat="false" ht="15" hidden="false" customHeight="false" outlineLevel="0" collapsed="false">
      <c r="B39" s="20" t="s">
        <v>172</v>
      </c>
      <c r="C39" s="41" t="n">
        <v>1848</v>
      </c>
      <c r="F39" s="5" t="s">
        <v>173</v>
      </c>
    </row>
    <row r="40" customFormat="false" ht="15" hidden="false" customHeight="false" outlineLevel="0" collapsed="false">
      <c r="B40" s="20" t="s">
        <v>174</v>
      </c>
      <c r="C40" s="41" t="n">
        <v>2478</v>
      </c>
      <c r="F40" s="5" t="s">
        <v>175</v>
      </c>
    </row>
    <row r="41" customFormat="false" ht="15" hidden="false" customHeight="false" outlineLevel="0" collapsed="false">
      <c r="B41" s="20" t="s">
        <v>176</v>
      </c>
      <c r="C41" s="41" t="n">
        <v>1428</v>
      </c>
      <c r="F41" s="5" t="s">
        <v>177</v>
      </c>
    </row>
    <row r="42" customFormat="false" ht="15" hidden="false" customHeight="false" outlineLevel="0" collapsed="false">
      <c r="B42" s="20" t="s">
        <v>178</v>
      </c>
      <c r="C42" s="41" t="n">
        <v>2026</v>
      </c>
      <c r="F42" s="5"/>
    </row>
    <row r="43" customFormat="false" ht="15" hidden="false" customHeight="false" outlineLevel="0" collapsed="false">
      <c r="B43" s="20" t="s">
        <v>179</v>
      </c>
      <c r="C43" s="41" t="n">
        <v>2682</v>
      </c>
      <c r="F43" s="5"/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Summary&amp;R&amp;"Arial,Regular"&amp;8Inputs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0"/>
    <col collapsed="false" customWidth="true" hidden="false" outlineLevel="0" max="4" min="3" style="0" width="12"/>
  </cols>
  <sheetData>
    <row r="1" customFormat="false" ht="30" hidden="false" customHeight="true" outlineLevel="0" collapsed="false">
      <c r="A1" s="1"/>
      <c r="B1" s="21" t="s">
        <v>35</v>
      </c>
      <c r="C1" s="1"/>
      <c r="D1" s="22" t="s">
        <v>36</v>
      </c>
    </row>
    <row r="2" customFormat="false" ht="18" hidden="false" customHeight="true" outlineLevel="0" collapsed="false">
      <c r="A2" s="1"/>
      <c r="B2" s="23" t="s">
        <v>180</v>
      </c>
      <c r="C2" s="1"/>
      <c r="D2" s="1"/>
    </row>
    <row r="4" customFormat="false" ht="15" hidden="false" customHeight="false" outlineLevel="0" collapsed="false">
      <c r="B4" s="20" t="s">
        <v>181</v>
      </c>
      <c r="C4" s="44" t="b">
        <f aca="false">ROUND(Ranges!F11,6)=1</f>
        <v>1</v>
      </c>
    </row>
    <row r="5" customFormat="false" ht="15" hidden="false" customHeight="false" outlineLevel="0" collapsed="false">
      <c r="B5" s="20" t="s">
        <v>182</v>
      </c>
      <c r="C5" s="44" t="b">
        <f aca="false">AND(SUMPRODUCT(--(Ranges!C6:C10&lt;=Ranges!D6:D10))=5,SUMPRODUCT(--(Ranges!D6:D10&lt;=Ranges!E6:E10))=5)</f>
        <v>1</v>
      </c>
    </row>
    <row r="6" customFormat="false" ht="15" hidden="false" customHeight="false" outlineLevel="0" collapsed="false">
      <c r="B6" s="20" t="s">
        <v>183</v>
      </c>
      <c r="C6" s="44" t="b">
        <f aca="false">DCF!$C$7&gt;Inputs!$C$33</f>
        <v>1</v>
      </c>
    </row>
    <row r="7" customFormat="false" ht="15" hidden="false" customHeight="false" outlineLevel="0" collapsed="false">
      <c r="B7" s="20" t="s">
        <v>184</v>
      </c>
      <c r="C7" s="44" t="b">
        <f aca="false">AND(DCF!C29&gt;0.5,DCF!C29&lt;0.9)</f>
        <v>1</v>
      </c>
    </row>
    <row r="8" customFormat="false" ht="15" hidden="false" customHeight="false" outlineLevel="0" collapsed="false">
      <c r="B8" s="20" t="s">
        <v>185</v>
      </c>
      <c r="C8" s="44" t="b">
        <f aca="false">AND(DCF!C34&gt;8,DCF!C34&lt;30)</f>
        <v>1</v>
      </c>
    </row>
    <row r="10" customFormat="false" ht="15.75" hidden="false" customHeight="true" outlineLevel="0" collapsed="false">
      <c r="B10" s="24" t="s">
        <v>186</v>
      </c>
      <c r="C10" s="45" t="str">
        <f aca="false">IF(COUNTIF(C4:C8,FALSE())=0,"MODEL OK","CHECK ERRORS")</f>
        <v>MODEL OK</v>
      </c>
      <c r="D10" s="1"/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&amp;L&amp;"Arial,Bold"&amp;8Tata Consultancy Services — Football Field Valuation Summary&amp;R&amp;"Arial,Regular"&amp;8Checks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2026-09-14T14:07:45Z</dcterms:created>
  <dc:creator>openpyxl</dc:creator>
  <dc:description/>
  <dc:language>en-US</dc:language>
  <cp:lastModifiedBy/>
  <dcterms:modified xsi:type="dcterms:W3CDTF">2026-09-14T14:07:47Z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