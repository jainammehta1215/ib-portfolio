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Inputs" sheetId="2" state="visible" r:id="rId4"/>
    <sheet name="WACC" sheetId="3" state="visible" r:id="rId5"/>
    <sheet name="DCF" sheetId="4" state="visible" r:id="rId6"/>
    <sheet name="Ranges" sheetId="5" state="visible" r:id="rId7"/>
    <sheet name="Football Field" sheetId="6" state="visible" r:id="rId8"/>
    <sheet name="Checks" sheetId="7" state="visible" r:id="rId9"/>
  </sheets>
  <definedNames>
    <definedName function="false" hidden="false" localSheetId="6" name="_xlnm.Print_Area" vbProcedure="false">Checks!$A$1:$E$26</definedName>
    <definedName function="false" hidden="false" localSheetId="0" name="_xlnm.Print_Area" vbProcedure="false">Cover!$A$1:$F$45</definedName>
    <definedName function="false" hidden="false" localSheetId="3" name="_xlnm.Print_Area" vbProcedure="false">DCF!$A$1:$L$51</definedName>
    <definedName function="false" hidden="false" localSheetId="3" name="_xlnm.Print_Titles" vbProcedure="false">DCF!$1:$5</definedName>
    <definedName function="false" hidden="false" localSheetId="5" name="_xlnm.Print_Area" vbProcedure="false">'Football Field'!$A$1:$J$43</definedName>
    <definedName function="false" hidden="false" localSheetId="1" name="_xlnm.Print_Area" vbProcedure="false">Inputs!$A$1:$F$39</definedName>
    <definedName function="false" hidden="false" localSheetId="4" name="_xlnm.Print_Area" vbProcedure="false">Ranges!$A$1:$I$29</definedName>
    <definedName function="false" hidden="false" localSheetId="2" name="_xlnm.Print_Area" vbProcedure="false">WACC!$A$1:$G$28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<sst xmlns="http://schemas.openxmlformats.org/spreadsheetml/2006/main" count="282" uniqueCount="244">
  <si>
    <t xml:space="preserve">IB PORTFOLIO · PROJECT 05 OF 20</t>
  </si>
  <si>
    <t xml:space="preserve">Tata Consultancy Services</t>
  </si>
  <si>
    <t xml:space="preserve">Football Field and Valuation Summary</t>
  </si>
  <si>
    <t xml:space="preserve">NSE: TCS   ·   INR billions · per-share values in INR   ·   as of market data 12 Sep 2026 · financials FY2026 (year to 31 Mar 2026)</t>
  </si>
  <si>
    <t xml:space="preserve">What this is</t>
  </si>
  <si>
    <t xml:space="preserve">Everything Projects 2 to 4 produced about what a business like TCS is worth, put on one page, plus the DCF the football field needed and did not have. Seven methodologies, each a range rather than a point, against the 12 September 2026 share price.</t>
  </si>
  <si>
    <t xml:space="preserve">How it is built</t>
  </si>
  <si>
    <t xml:space="preserve">•  A compact five-year DCF in INR: local risk-free rate, beta regressed against the NIFTY 50, terminal value by perpetuity growth and by exit multiple with each checking the other, and a live WACC-by-growth sensitivity grid.</t>
  </si>
  <si>
    <t xml:space="preserve">•  Trading-multiple ranges carried in from Project 3 (peer 25th to 75th percentile) and precedent-transaction ranges from Project 4, each flagged for how far it can be trusted.</t>
  </si>
  <si>
    <t xml:space="preserve">•  The beta regression Project 2 used for Apple was run for TCS and rejected: Indian shares against the S&amp;P 500 give R-squared of 0.01. The WACC sheet records the rejected regressions rather than deleting them.</t>
  </si>
  <si>
    <t xml:space="preserve">•  Eighteen integrity checks, including one that fails if the forecast assumes growth above anything TCS has recently achieved.</t>
  </si>
  <si>
    <t xml:space="preserve">Contents</t>
  </si>
  <si>
    <t xml:space="preserve">Football Field  —  the chart and the data behind it</t>
  </si>
  <si>
    <t xml:space="preserve">Ranges  —  every bar, its source and its caveat</t>
  </si>
  <si>
    <t xml:space="preserve">DCF  —  five-year forecast, terminal value both ways, sensitivity grid</t>
  </si>
  <si>
    <t xml:space="preserve">WACC  —  beta regressions accepted and rejected, cost of capital build</t>
  </si>
  <si>
    <t xml:space="preserve">Inputs  —  market data, cost of capital and forecast drivers</t>
  </si>
  <si>
    <t xml:space="preserve">Checks  —  eighteen tests; must read MODEL OK</t>
  </si>
  <si>
    <t xml:space="preserve">Key outputs (live)</t>
  </si>
  <si>
    <t xml:space="preserve">DCF value per share (INR)</t>
  </si>
  <si>
    <t xml:space="preserve">Current share price (INR)</t>
  </si>
  <si>
    <t xml:space="preserve">Recommended range (INR)</t>
  </si>
  <si>
    <t xml:space="preserve">Recommended midpoint (INR)</t>
  </si>
  <si>
    <t xml:space="preserve">WACC (INR)</t>
  </si>
  <si>
    <t xml:space="preserve">Terminal value as % of EV</t>
  </si>
  <si>
    <t xml:space="preserve">Colour code</t>
  </si>
  <si>
    <t xml:space="preserve">Blue = hard-coded input</t>
  </si>
  <si>
    <t xml:space="preserve">Black = formula</t>
  </si>
  <si>
    <t xml:space="preserve">Green = link to another sheet</t>
  </si>
  <si>
    <t xml:space="preserve">Accent fill = scenario selector / key levers</t>
  </si>
  <si>
    <t xml:space="preserve">Sources</t>
  </si>
  <si>
    <t xml:space="preserve">TCS annual financials FY2023-FY2026 (year to 31 March), Yahoo Finance fundamentals for TCS.NS, restating the consolidated annual report.</t>
  </si>
  <si>
    <t xml:space="preserve">Share price, 52-week range and share count: Yahoo Finance, 12 September 2026 — the same market date as Projects 3 and 4.</t>
  </si>
  <si>
    <t xml:space="preserve">Risk-free rate: India 10-year G-Sec at 7.02%, 11 September 2026.</t>
  </si>
  <si>
    <t xml:space="preserve">Equity risk premium: 4.5% mature-market premium (as used in Project 2) plus a 2.2% India country risk premium (Damodaran).</t>
  </si>
  <si>
    <t xml:space="preserve">Beta: five years of weekly returns to 12 September 2026, TCS against the NIFTY 50, 254 observations.</t>
  </si>
  <si>
    <t xml:space="preserve">Trading-multiple ranges from Project 3; precedent-transaction ranges from Project 4.</t>
  </si>
  <si>
    <t xml:space="preserve">Prepared by</t>
  </si>
  <si>
    <t xml:space="preserve">Jainam Mehta · github.com/jainammehta1215/ib-portfolio</t>
  </si>
  <si>
    <t xml:space="preserve">Tata Consultancy Services — Football Field and Valuation Summary</t>
  </si>
  <si>
    <t xml:space="preserve">TATA CONSULTANCY SERVICES</t>
  </si>
  <si>
    <t xml:space="preserve">Market data, capital structure, cost of capital and forecast drivers</t>
  </si>
  <si>
    <t xml:space="preserve">MARKET DATA (12 SEPTEMBER 2026)</t>
  </si>
  <si>
    <t xml:space="preserve">TCS share price (INR)</t>
  </si>
  <si>
    <t xml:space="preserve">Yahoo Finance, NSE close 12 Sep 2026. Same price as Projects 3 and 4</t>
  </si>
  <si>
    <t xml:space="preserve">52-week high (INR)</t>
  </si>
  <si>
    <t xml:space="preserve">Yahoo Finance</t>
  </si>
  <si>
    <t xml:space="preserve">52-week low (INR)</t>
  </si>
  <si>
    <t xml:space="preserve">Shares outstanding (m)</t>
  </si>
  <si>
    <t xml:space="preserve">Project 3</t>
  </si>
  <si>
    <t xml:space="preserve">USD per INR</t>
  </si>
  <si>
    <t xml:space="preserve">USDINR 95.54; used only to restate Project 3's US$ net cash</t>
  </si>
  <si>
    <t xml:space="preserve">Net cash (US$m, from Project 3)</t>
  </si>
  <si>
    <t xml:space="preserve">Project 3 reports net debt of US$(3,020)m</t>
  </si>
  <si>
    <t xml:space="preserve">Net cash (INR bn)</t>
  </si>
  <si>
    <t xml:space="preserve">Restated at the 12 Sep 2026 rate</t>
  </si>
  <si>
    <t xml:space="preserve">COST OF CAPITAL (INR, LOCAL CAPM)</t>
  </si>
  <si>
    <t xml:space="preserve">Risk-free rate: India 10-year G-Sec</t>
  </si>
  <si>
    <t xml:space="preserve">7.02% on 11 Sep 2026. Local-currency cash flows require a local-currency risk-free rate</t>
  </si>
  <si>
    <t xml:space="preserve">Raw beta (TCS vs NIFTY 50, 5y weekly)</t>
  </si>
  <si>
    <t xml:space="preserve">254 weekly observations to 12 Sep 2026; R-squared 0.28. See the WACC sheet</t>
  </si>
  <si>
    <t xml:space="preserve">Blume-adjusted beta</t>
  </si>
  <si>
    <t xml:space="preserve">0.67 x raw + 0.33, as banks apply it; pulls the estimate toward 1.0</t>
  </si>
  <si>
    <t xml:space="preserve">Mature-market equity risk premium</t>
  </si>
  <si>
    <t xml:space="preserve">Same 4.5% used in Project 2, for consistency across the portfolio</t>
  </si>
  <si>
    <t xml:space="preserve">India country risk premium</t>
  </si>
  <si>
    <t xml:space="preserve">Damodaran country risk premium for India (Baa3/BBB-). Verify against the current table before reuse</t>
  </si>
  <si>
    <t xml:space="preserve">India equity risk premium</t>
  </si>
  <si>
    <t xml:space="preserve">Mature-market premium plus country risk</t>
  </si>
  <si>
    <t xml:space="preserve">Cost of equity</t>
  </si>
  <si>
    <t xml:space="preserve">CAPM in INR</t>
  </si>
  <si>
    <t xml:space="preserve">Debt as % of capital</t>
  </si>
  <si>
    <t xml:space="preserve">TCS carries no meaningful borrowing and is net cash, so WACC collapses to the cost of equity</t>
  </si>
  <si>
    <t xml:space="preserve">Used to discount INR cash flows</t>
  </si>
  <si>
    <t xml:space="preserve">FORECAST DRIVERS</t>
  </si>
  <si>
    <t xml:space="preserve">Tax rate on EBIT</t>
  </si>
  <si>
    <t xml:space="preserve">Between the FY2025 and FY2026 effective rates</t>
  </si>
  <si>
    <t xml:space="preserve">D&amp;A as % of revenue</t>
  </si>
  <si>
    <t xml:space="preserve">FY2026 actual: 2.08%</t>
  </si>
  <si>
    <t xml:space="preserve">Capex as % of revenue</t>
  </si>
  <si>
    <t xml:space="preserve">FY2026 actual: 1.55%. An asset-light business</t>
  </si>
  <si>
    <t xml:space="preserve">Increase in working capital as % of incremental revenue</t>
  </si>
  <si>
    <t xml:space="preserve">Receivables-driven; a growth business absorbs cash here</t>
  </si>
  <si>
    <t xml:space="preserve">Terminal growth (INR, nominal)</t>
  </si>
  <si>
    <t xml:space="preserve">Roughly Indian long-run inflation plus modest real growth; well below nominal GDP</t>
  </si>
  <si>
    <t xml:space="preserve">Exit EV/EBITDA (cross-check only)</t>
  </si>
  <si>
    <t xml:space="preserve">Used to test the perpetuity assumption, not to value the company</t>
  </si>
  <si>
    <t xml:space="preserve">Mid-year discounting convention</t>
  </si>
  <si>
    <t xml:space="preserve">1 = cash flows arrive mid-year (periods 0.5, 1.5, ...); 0 = year-end</t>
  </si>
  <si>
    <t xml:space="preserve">ANALYST CONSENSUS (RESEARCH-TARGET BAR)</t>
  </si>
  <si>
    <t xml:space="preserve">Analyst target — low (INR)</t>
  </si>
  <si>
    <t xml:space="preserve">Lowest of 43 published 12-month targets, 12 Sep 2026</t>
  </si>
  <si>
    <t xml:space="preserve">Analyst target — average (INR)</t>
  </si>
  <si>
    <t xml:space="preserve">Consensus average; the figure most often quoted back in a meeting</t>
  </si>
  <si>
    <t xml:space="preserve">Analyst target — high (INR)</t>
  </si>
  <si>
    <t xml:space="preserve">Highest published target</t>
  </si>
  <si>
    <t xml:space="preserve">Number of analysts covering</t>
  </si>
  <si>
    <t xml:space="preserve">Coverage depth. A thin consensus is worth less than a broad one</t>
  </si>
  <si>
    <t xml:space="preserve">Everything above is a hard-coded input (blue). Every figure on every other sheet is a formula. The DCF is deliberately compact: five forecast years, one case, and a sensitivity grid — its job is to produce one honest bar on the football field, not to replace Project 2's full treatment.</t>
  </si>
  <si>
    <t xml:space="preserve">Beta estimated where the regression is valid, and a record of the regressions that were rejected</t>
  </si>
  <si>
    <t xml:space="preserve">BETA ESTIMATE USED</t>
  </si>
  <si>
    <t xml:space="preserve">Regression</t>
  </si>
  <si>
    <t xml:space="preserve">Raw beta</t>
  </si>
  <si>
    <t xml:space="preserve">R-squared</t>
  </si>
  <si>
    <t xml:space="preserve">TCS vs NIFTY 50 (INR)</t>
  </si>
  <si>
    <t xml:space="preserve">Accepted: same market, same currency, same trading hours</t>
  </si>
  <si>
    <t xml:space="preserve">REGRESSIONS RUN AND REJECTED</t>
  </si>
  <si>
    <t xml:space="preserve">TCS vs S&amp;P 500 (USD returns)</t>
  </si>
  <si>
    <t xml:space="preserve">Rejected: R-squared 0.01 — no explanatory power</t>
  </si>
  <si>
    <t xml:space="preserve">Infosys vs S&amp;P 500 (USD returns)</t>
  </si>
  <si>
    <t xml:space="preserve">Rejected: R-squared 0.02</t>
  </si>
  <si>
    <t xml:space="preserve">HCLTech vs S&amp;P 500 (USD returns)</t>
  </si>
  <si>
    <t xml:space="preserve">Rejected: R-squared 0.00</t>
  </si>
  <si>
    <t xml:space="preserve">Wipro vs S&amp;P 500 (USD returns)</t>
  </si>
  <si>
    <t xml:space="preserve">Rejected: R-squared 0.04</t>
  </si>
  <si>
    <t xml:space="preserve">Accenture vs S&amp;P 500</t>
  </si>
  <si>
    <t xml:space="preserve">US-listed peer: regression behaves normally</t>
  </si>
  <si>
    <t xml:space="preserve">Cognizant vs S&amp;P 500</t>
  </si>
  <si>
    <t xml:space="preserve">EPAM vs S&amp;P 500</t>
  </si>
  <si>
    <t xml:space="preserve">Project 2 built Apple's beta by regressing ten peers against the S&amp;P 500, unlevering, taking the median and relevering. The same recipe applied to TCS breaks: Indian shares regressed against the S&amp;P 500 give betas of 0.06 to 0.33 with R-squared of 0.00 to 0.04, because the two markets trade in different hours and different currencies. A beta with no explanatory power is not a conservative beta, it is a wrong one. The regression is therefore run in the market where TCS actually trades, against the NIFTY 50, in INR — which is also why the whole DCF is built in INR.</t>
  </si>
  <si>
    <t xml:space="preserve">COST OF CAPITAL BUILD</t>
  </si>
  <si>
    <t xml:space="preserve">Risk-free rate (India 10-year G-Sec)</t>
  </si>
  <si>
    <t xml:space="preserve">TCS is net cash, so there is no debt tranche to weight and WACC equals the cost of equity. Stating that explicitly is better than building a capital-structure table whose debt weight is zero.</t>
  </si>
  <si>
    <t xml:space="preserve">INR billions · fiscal year to 31 March · actuals in blue, forecast driven off the Inputs sheet</t>
  </si>
  <si>
    <t xml:space="preserve">UNLEVERED FREE CASH FLOW</t>
  </si>
  <si>
    <t xml:space="preserve">FY2023A</t>
  </si>
  <si>
    <t xml:space="preserve">FY2024A</t>
  </si>
  <si>
    <t xml:space="preserve">FY2025A</t>
  </si>
  <si>
    <t xml:space="preserve">FY2026A</t>
  </si>
  <si>
    <t xml:space="preserve">FY2027E</t>
  </si>
  <si>
    <t xml:space="preserve">FY2028E</t>
  </si>
  <si>
    <t xml:space="preserve">FY2029E</t>
  </si>
  <si>
    <t xml:space="preserve">FY2030E</t>
  </si>
  <si>
    <t xml:space="preserve">FY2031E</t>
  </si>
  <si>
    <t xml:space="preserve">Revenue</t>
  </si>
  <si>
    <t xml:space="preserve">   Growth</t>
  </si>
  <si>
    <t xml:space="preserve">EBIT</t>
  </si>
  <si>
    <t xml:space="preserve">   EBIT margin</t>
  </si>
  <si>
    <t xml:space="preserve">Less: tax on EBIT</t>
  </si>
  <si>
    <t xml:space="preserve">NOPAT</t>
  </si>
  <si>
    <t xml:space="preserve">Plus: depreciation and amortisation</t>
  </si>
  <si>
    <t xml:space="preserve">Less: capital expenditure</t>
  </si>
  <si>
    <t xml:space="preserve">Less: increase in working capital</t>
  </si>
  <si>
    <t xml:space="preserve">Unlevered free cash flow</t>
  </si>
  <si>
    <t xml:space="preserve">Memo: EBITDA</t>
  </si>
  <si>
    <t xml:space="preserve">DISCOUNTING</t>
  </si>
  <si>
    <t xml:space="preserve">Discount period (years)</t>
  </si>
  <si>
    <t xml:space="preserve">Discount factor</t>
  </si>
  <si>
    <t xml:space="preserve">PV of free cash flow</t>
  </si>
  <si>
    <t xml:space="preserve">TERMINAL VALUE — TWO METHODS, EACH CHECKING THE OTHER</t>
  </si>
  <si>
    <t xml:space="preserve">Terminal value at FY2031 (perpetuity growth)</t>
  </si>
  <si>
    <t xml:space="preserve">PV of terminal value (perpetuity growth)</t>
  </si>
  <si>
    <t xml:space="preserve">Terminal value at FY2031 (exit multiple)</t>
  </si>
  <si>
    <t xml:space="preserve">PV of terminal value (exit multiple)</t>
  </si>
  <si>
    <t xml:space="preserve">Growth implied by the exit multiple</t>
  </si>
  <si>
    <t xml:space="preserve">If this is far from the assumed terminal growth, one of the two assumptions is wrong</t>
  </si>
  <si>
    <t xml:space="preserve">Exit multiple implied by terminal growth</t>
  </si>
  <si>
    <t xml:space="preserve">VALUATION BRIDGE (PERPETUITY-GROWTH METHOD)</t>
  </si>
  <si>
    <t xml:space="preserve">Sum of PV of forecast free cash flow</t>
  </si>
  <si>
    <t xml:space="preserve">PV of terminal value</t>
  </si>
  <si>
    <t xml:space="preserve">Enterprise value</t>
  </si>
  <si>
    <t xml:space="preserve">Terminal value as % of enterprise value</t>
  </si>
  <si>
    <t xml:space="preserve">Above roughly 80% the answer is an assumption about 2031, not a forecast</t>
  </si>
  <si>
    <t xml:space="preserve">Plus: net cash</t>
  </si>
  <si>
    <t xml:space="preserve">Equity value</t>
  </si>
  <si>
    <t xml:space="preserve">Value per share (INR)</t>
  </si>
  <si>
    <t xml:space="preserve">Market price vs DCF value</t>
  </si>
  <si>
    <t xml:space="preserve">Positive = the market pays more than this DCF supports</t>
  </si>
  <si>
    <t xml:space="preserve">SENSITIVITY: VALUE PER SHARE (INR)</t>
  </si>
  <si>
    <t xml:space="preserve">Terminal growth  \  WACC</t>
  </si>
  <si>
    <t xml:space="preserve">The shaded cell is the base case and reconciles to the bridge above. The grid is live: every cell rediscounts the same five forecast cash flows at its own WACC and regrows the terminal value at its own rate. The spread across the grid — not the single base-case number — is what becomes the DCF bar on the football field.</t>
  </si>
  <si>
    <t xml:space="preserve">Every bar, its source, what it is worth trusting, and the weight it carries in the recommended range</t>
  </si>
  <si>
    <t xml:space="preserve">Methodology</t>
  </si>
  <si>
    <t xml:space="preserve">Low (INR)</t>
  </si>
  <si>
    <t xml:space="preserve">High (INR)</t>
  </si>
  <si>
    <t xml:space="preserve">Midpoint</t>
  </si>
  <si>
    <t xml:space="preserve">Width</t>
  </si>
  <si>
    <t xml:space="preserve">Weight</t>
  </si>
  <si>
    <t xml:space="preserve">Source</t>
  </si>
  <si>
    <t xml:space="preserve">52-week trading range</t>
  </si>
  <si>
    <t xml:space="preserve">Market</t>
  </si>
  <si>
    <t xml:space="preserve">Where the shares have actually changed hands. Context, not a valuation, so it carries no weight.</t>
  </si>
  <si>
    <t xml:space="preserve">Analyst price targets (43)</t>
  </si>
  <si>
    <t xml:space="preserve">Consensus</t>
  </si>
  <si>
    <t xml:space="preserve">Published 12-month targets. Weighted lightly: the analysts are reading the same filings as everyone else, and targets lag the price.</t>
  </si>
  <si>
    <t xml:space="preserve">DCF — WACC and growth sensitivity</t>
  </si>
  <si>
    <t xml:space="preserve">Project 5</t>
  </si>
  <si>
    <t xml:space="preserve">Low and high are the corners of the sensitivity grid: WACC plus or minus 100bp against terminal growth plus or minus 100bp.</t>
  </si>
  <si>
    <t xml:space="preserve">Trading comps — EV/CY2027 revenue</t>
  </si>
  <si>
    <t xml:space="preserve">Peer 25th to 75th percentile, calendarised to TCS's March year. The forward multiple institutional investors quote.</t>
  </si>
  <si>
    <t xml:space="preserve">Trading comps — EV/LTM EBITDA</t>
  </si>
  <si>
    <t xml:space="preserve">Peer 25th to 75th percentile. No estimates involved, so no forecast risk.</t>
  </si>
  <si>
    <t xml:space="preserve">Trading comps — P/E (CY2027)</t>
  </si>
  <si>
    <t xml:space="preserve">Equity multiple; consistent with TCS's net-cash balance sheet, which flatters EV multiples.</t>
  </si>
  <si>
    <t xml:space="preserve">Precedents — EV/LTM revenue</t>
  </si>
  <si>
    <t xml:space="preserve">Project 4</t>
  </si>
  <si>
    <t xml:space="preserve">Illustrative. Fourteen deals, none remotely TCS's size, struck when the sector traded far higher. Weighted down accordingly.</t>
  </si>
  <si>
    <t xml:space="preserve">Precedents — EV/LTM EBITDA</t>
  </si>
  <si>
    <t xml:space="preserve">Illustrative and the weakest bar on the page: five disclosed observations, all mid-cap, all pre-2023.</t>
  </si>
  <si>
    <t xml:space="preserve">Total weight</t>
  </si>
  <si>
    <t xml:space="preserve">RECOMMENDED RANGE (WEIGHTED)</t>
  </si>
  <si>
    <t xml:space="preserve">Recommended value per share (INR)</t>
  </si>
  <si>
    <t xml:space="preserve">Low, high and midpoint, each weighted by the column G weights. Change a weight and this line moves: that is the conversation with the client, and it is better had in the open than hidden inside a judgement.</t>
  </si>
  <si>
    <t xml:space="preserve">CONCLUSION</t>
  </si>
  <si>
    <t xml:space="preserve">Low across all methodologies</t>
  </si>
  <si>
    <t xml:space="preserve">High across all methodologies</t>
  </si>
  <si>
    <t xml:space="preserve">Median of the methodology midpoints</t>
  </si>
  <si>
    <t xml:space="preserve">Recommended midpoint (weighted)</t>
  </si>
  <si>
    <t xml:space="preserve">Market price vs the recommended midpoint</t>
  </si>
  <si>
    <t xml:space="preserve">•  The bars do not agree, and a football field that did agree would be hiding something. The useful reading is which methods cluster: the DCF and the three trading-comps bars all land between roughly 1,200 and 2,700, and the share price sits in the upper half of that cluster.</t>
  </si>
  <si>
    <t xml:space="preserve">•  The weights are judgement and they are on the page as inputs rather than buried in a formula. Trading comps carry 45% between three multiples because they need no forecast; the DCF carries 35% because it is the only method that values TCS rather than its peer group; precedents carry 10% because of the size and cycle mismatch; analyst targets carry 10% because they recycle public information; the 52-week range carries nothing because it is context.</t>
  </si>
  <si>
    <t xml:space="preserve">•  The two precedent bars sit above everything else. Part of that is a genuine control premium and part is the cycle — the deals were struck when IT services traded at 20-30x earnings and the sector has since de-rated to 10-15x. Project 4's notes flag this; it is repeated here because a reader looking only at this page would otherwise take the precedent bars at face value.</t>
  </si>
  <si>
    <t xml:space="preserve">•  The DCF and the trading comps are built on completely different logic — one discounts TCS's own cash flows at an INR cost of capital, the other asks what the market pays for comparable businesses today — and they overlap heavily. That agreement is the most informative thing on the page.</t>
  </si>
  <si>
    <t xml:space="preserve">Implied value per share (INR) by methodology · bar = the range, not a point estimate</t>
  </si>
  <si>
    <t xml:space="preserve">CHART DATA (linked from Ranges)</t>
  </si>
  <si>
    <t xml:space="preserve">Base (invisible)</t>
  </si>
  <si>
    <t xml:space="preserve">Span</t>
  </si>
  <si>
    <t xml:space="preserve">Low</t>
  </si>
  <si>
    <t xml:space="preserve">High</t>
  </si>
  <si>
    <t xml:space="preserve">Recommended range (weighted)</t>
  </si>
  <si>
    <t xml:space="preserve">Current share price: INR 2,200.80 (12 Sep 2026)</t>
  </si>
  <si>
    <t xml:space="preserve">The first series is deliberately unfilled: each bar floats from its low to its high, which is what makes this a football field rather than a stacked bar chart. The final bar, in the accent colour, is the weighted recommended range. Read the overlap between bars, not any single bar.</t>
  </si>
  <si>
    <t xml:space="preserve">Every check must read TRUE</t>
  </si>
  <si>
    <t xml:space="preserve">INTEGRITY CHECKS</t>
  </si>
  <si>
    <t xml:space="preserve">WACC exceeds terminal growth</t>
  </si>
  <si>
    <t xml:space="preserve">Enterprise value ties to the sum of its parts</t>
  </si>
  <si>
    <t xml:space="preserve">Equity value ties to EV plus net cash</t>
  </si>
  <si>
    <t xml:space="preserve">DCF value per share is positive</t>
  </si>
  <si>
    <t xml:space="preserve">Terminal value is between 50% and 90% of EV</t>
  </si>
  <si>
    <t xml:space="preserve">The two terminal-value methods are within 35% of each other</t>
  </si>
  <si>
    <t xml:space="preserve">Base-case sensitivity cell reconciles to the bridge</t>
  </si>
  <si>
    <t xml:space="preserve">Every forecast free cash flow is positive</t>
  </si>
  <si>
    <t xml:space="preserve">Forecast revenue growth never exceeds the historical maximum</t>
  </si>
  <si>
    <t xml:space="preserve">Every football-field bar is ordered low to high</t>
  </si>
  <si>
    <t xml:space="preserve">Every bar has positive width</t>
  </si>
  <si>
    <t xml:space="preserve">Methodology weights sum to 100%</t>
  </si>
  <si>
    <t xml:space="preserve">Recommended range is ordered low &lt;= mid &lt;= high</t>
  </si>
  <si>
    <t xml:space="preserve">Recommended range sits inside the overall range of methods</t>
  </si>
  <si>
    <t xml:space="preserve">Analyst consensus bar is ordered low &lt;= average &lt;= high</t>
  </si>
  <si>
    <t xml:space="preserve">Chart data ties to the Ranges sheet</t>
  </si>
  <si>
    <t xml:space="preserve">Share price and share count match Projects 3 and 4</t>
  </si>
  <si>
    <t xml:space="preserve">Current price sits inside the overall range</t>
  </si>
  <si>
    <t xml:space="preserve">MODEL STATUS</t>
  </si>
  <si>
    <t xml:space="preserve">The growth-discipline check is the unusual one: it fails if the forecast assumes TCS grows faster than it has in any of the last three years. A DCF that quietly solves for the current share price by lifting growth is the most common way this analysis goes wrong, and a check is a cheaper defence than a reviewer.</t>
  </si>
</sst>
</file>

<file path=xl/styles.xml><?xml version="1.0" encoding="utf-8"?>
<styleSheet xmlns="http://schemas.openxmlformats.org/spreadsheetml/2006/main">
  <numFmts count="12">
    <numFmt numFmtId="164" formatCode="General"/>
    <numFmt numFmtId="165" formatCode="#,##0;\(#,##0\);\-"/>
    <numFmt numFmtId="166" formatCode="0.0%;\(0.0%\);\-"/>
    <numFmt numFmtId="167" formatCode="#,##0.00;\(#,##0.00\);\-"/>
    <numFmt numFmtId="168" formatCode="0.000000"/>
    <numFmt numFmtId="169" formatCode="#,##0.0;\(#,##0.0\);\-"/>
    <numFmt numFmtId="170" formatCode="0.000"/>
    <numFmt numFmtId="171" formatCode="0.0\x"/>
    <numFmt numFmtId="172" formatCode="0"/>
    <numFmt numFmtId="173" formatCode="0.00"/>
    <numFmt numFmtId="174" formatCode="0.0"/>
    <numFmt numFmtId="175" formatCode="General"/>
  </numFmts>
  <fonts count="2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9"/>
      <color rgb="FFE31837"/>
      <name val="Arial"/>
      <family val="0"/>
      <charset val="1"/>
    </font>
    <font>
      <b val="true"/>
      <sz val="24"/>
      <color rgb="FF0F2B5B"/>
      <name val="Arial"/>
      <family val="0"/>
      <charset val="1"/>
    </font>
    <font>
      <sz val="15"/>
      <color rgb="FF5B6B85"/>
      <name val="Arial"/>
      <family val="0"/>
      <charset val="1"/>
    </font>
    <font>
      <i val="true"/>
      <sz val="9"/>
      <color rgb="FF7F7F7F"/>
      <name val="Arial"/>
      <family val="0"/>
      <charset val="1"/>
    </font>
    <font>
      <b val="true"/>
      <sz val="10"/>
      <color rgb="FF0F2B5B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800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6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10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E31837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2"/>
      <color rgb="FF0F2B5B"/>
      <name val="Arial"/>
      <family val="0"/>
      <charset val="1"/>
    </font>
    <font>
      <b val="true"/>
      <sz val="12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0F2B5B"/>
        <bgColor rgb="FF333333"/>
      </patternFill>
    </fill>
    <fill>
      <patternFill patternType="solid">
        <fgColor rgb="FFE31837"/>
        <bgColor rgb="FF993366"/>
      </patternFill>
    </fill>
    <fill>
      <patternFill patternType="solid">
        <fgColor rgb="FFEEF2F8"/>
        <bgColor rgb="FFFFFFFF"/>
      </patternFill>
    </fill>
    <fill>
      <patternFill patternType="solid">
        <fgColor rgb="FF5B6B85"/>
        <bgColor rgb="FF7F7F7F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 style="thin"/>
      <bottom style="double"/>
      <diagonal/>
    </border>
    <border diagonalUp="false" diagonalDown="false">
      <left/>
      <right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11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5" fillId="2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3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3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7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2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3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13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5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E31837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F7F7F"/>
      <rgbColor rgb="FF9999FF"/>
      <rgbColor rgb="FF993366"/>
      <rgbColor rgb="FFEEF2F8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B6B85"/>
      <rgbColor rgb="FF878787"/>
      <rgbColor rgb="FF0F2B5B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TCS — implied value per share (INR)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stacked"/>
        <c:varyColors val="0"/>
        <c:ser>
          <c:idx val="0"/>
          <c:order val="0"/>
          <c:tx>
            <c:strRef>
              <c:f>'Football Field'!C5</c:f>
              <c:strCache>
                <c:ptCount val="1"/>
                <c:pt idx="0">
                  <c:v>Base (invisible)</c:v>
                </c:pt>
              </c:strCache>
            </c:strRef>
          </c:tx>
          <c:spPr>
            <a:noFill/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'Football Field'!$B$6:$B$14</c:f>
              <c:strCache>
                <c:ptCount val="9"/>
                <c:pt idx="0">
                  <c:v>52-week trading range</c:v>
                </c:pt>
                <c:pt idx="1">
                  <c:v>Analyst price targets (43)</c:v>
                </c:pt>
                <c:pt idx="2">
                  <c:v>DCF — WACC and growth sensitivity</c:v>
                </c:pt>
                <c:pt idx="3">
                  <c:v>Trading comps — EV/CY2027 revenue</c:v>
                </c:pt>
                <c:pt idx="4">
                  <c:v>Trading comps — EV/LTM EBITDA</c:v>
                </c:pt>
                <c:pt idx="5">
                  <c:v>Trading comps — P/E (CY2027)</c:v>
                </c:pt>
                <c:pt idx="6">
                  <c:v>Precedents — EV/LTM revenue</c:v>
                </c:pt>
                <c:pt idx="7">
                  <c:v>Precedents — EV/LTM EBITDA</c:v>
                </c:pt>
                <c:pt idx="8">
                  <c:v>Recommended range (weighted)</c:v>
                </c:pt>
              </c:strCache>
            </c:strRef>
          </c:cat>
          <c:val>
            <c:numRef>
              <c:f>'Football Field'!$C$6:$C$14</c:f>
              <c:numCache>
                <c:formatCode>#,##0;\(#,##0\);\-</c:formatCode>
                <c:ptCount val="9"/>
                <c:pt idx="0">
                  <c:v>1976.8</c:v>
                </c:pt>
                <c:pt idx="1">
                  <c:v>1775</c:v>
                </c:pt>
                <c:pt idx="2">
                  <c:v>1624.61567248631</c:v>
                </c:pt>
                <c:pt idx="3">
                  <c:v>1242.05</c:v>
                </c:pt>
                <c:pt idx="4">
                  <c:v>1652.2</c:v>
                </c:pt>
                <c:pt idx="5">
                  <c:v>1874.11</c:v>
                </c:pt>
                <c:pt idx="6">
                  <c:v>1428.41</c:v>
                </c:pt>
                <c:pt idx="7">
                  <c:v>2862.26</c:v>
                </c:pt>
                <c:pt idx="8">
                  <c:v>1675.90298537021</c:v>
                </c:pt>
              </c:numCache>
            </c:numRef>
          </c:val>
        </c:ser>
        <c:ser>
          <c:idx val="1"/>
          <c:order val="1"/>
          <c:tx>
            <c:strRef>
              <c:f>'Football Field'!D5</c:f>
              <c:strCache>
                <c:ptCount val="1"/>
                <c:pt idx="0">
                  <c:v>Span</c:v>
                </c:pt>
              </c:strCache>
            </c:strRef>
          </c:tx>
          <c:spPr>
            <a:solidFill>
              <a:srgbClr val="0f2b5b"/>
            </a:solidFill>
            <a:ln w="0">
              <a:solidFill>
                <a:srgbClr val="0f2b5b"/>
              </a:solidFill>
            </a:ln>
          </c:spPr>
          <c:invertIfNegative val="0"/>
          <c:dPt>
            <c:idx val="8"/>
            <c:invertIfNegative val="0"/>
            <c:spPr>
              <a:solidFill>
                <a:srgbClr val="e31837"/>
              </a:solidFill>
              <a:ln w="0">
                <a:solidFill>
                  <a:srgbClr val="e31837"/>
                </a:solidFill>
              </a:ln>
            </c:spPr>
          </c:dPt>
          <c:dLbls>
            <c:dLbl>
              <c:idx val="8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'Football Field'!$B$6:$B$14</c:f>
              <c:strCache>
                <c:ptCount val="9"/>
                <c:pt idx="0">
                  <c:v>52-week trading range</c:v>
                </c:pt>
                <c:pt idx="1">
                  <c:v>Analyst price targets (43)</c:v>
                </c:pt>
                <c:pt idx="2">
                  <c:v>DCF — WACC and growth sensitivity</c:v>
                </c:pt>
                <c:pt idx="3">
                  <c:v>Trading comps — EV/CY2027 revenue</c:v>
                </c:pt>
                <c:pt idx="4">
                  <c:v>Trading comps — EV/LTM EBITDA</c:v>
                </c:pt>
                <c:pt idx="5">
                  <c:v>Trading comps — P/E (CY2027)</c:v>
                </c:pt>
                <c:pt idx="6">
                  <c:v>Precedents — EV/LTM revenue</c:v>
                </c:pt>
                <c:pt idx="7">
                  <c:v>Precedents — EV/LTM EBITDA</c:v>
                </c:pt>
                <c:pt idx="8">
                  <c:v>Recommended range (weighted)</c:v>
                </c:pt>
              </c:strCache>
            </c:strRef>
          </c:cat>
          <c:val>
            <c:numRef>
              <c:f>'Football Field'!$D$6:$D$14</c:f>
              <c:numCache>
                <c:formatCode>#,##0;\(#,##0\);\-</c:formatCode>
                <c:ptCount val="9"/>
                <c:pt idx="0">
                  <c:v>1373.2</c:v>
                </c:pt>
                <c:pt idx="1">
                  <c:v>2125</c:v>
                </c:pt>
                <c:pt idx="2">
                  <c:v>879.685047694581</c:v>
                </c:pt>
                <c:pt idx="3">
                  <c:v>503.27</c:v>
                </c:pt>
                <c:pt idx="4">
                  <c:v>826.29</c:v>
                </c:pt>
                <c:pt idx="5">
                  <c:v>814.83</c:v>
                </c:pt>
                <c:pt idx="6">
                  <c:v>1254</c:v>
                </c:pt>
                <c:pt idx="7">
                  <c:v>670.06</c:v>
                </c:pt>
                <c:pt idx="8">
                  <c:v>938.251266693104</c:v>
                </c:pt>
              </c:numCache>
            </c:numRef>
          </c:val>
        </c:ser>
        <c:gapWidth val="150"/>
        <c:overlap val="100"/>
        <c:axId val="25162196"/>
        <c:axId val="34523377"/>
      </c:barChart>
      <c:catAx>
        <c:axId val="251621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4523377"/>
        <c:crosses val="autoZero"/>
        <c:auto val="1"/>
        <c:lblAlgn val="ctr"/>
        <c:lblOffset val="100"/>
        <c:noMultiLvlLbl val="0"/>
      </c:catAx>
      <c:valAx>
        <c:axId val="3452337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INR per share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;\(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516219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16</xdr:row>
      <xdr:rowOff>0</xdr:rowOff>
    </xdr:from>
    <xdr:to>
      <xdr:col>9</xdr:col>
      <xdr:colOff>126000</xdr:colOff>
      <xdr:row>38</xdr:row>
      <xdr:rowOff>128520</xdr:rowOff>
    </xdr:to>
    <xdr:graphicFrame>
      <xdr:nvGraphicFramePr>
        <xdr:cNvPr id="0" name="Chart 1"/>
        <xdr:cNvGraphicFramePr/>
      </xdr:nvGraphicFramePr>
      <xdr:xfrm>
        <a:off x="176400" y="3324240"/>
        <a:ext cx="935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TCS_Football_Field.xlsx" TargetMode="External"/><Relationship Id="rId2" Type="http://schemas.openxmlformats.org/officeDocument/2006/relationships/hyperlink" Target="TCS_Football_Field.xlsx" TargetMode="External"/><Relationship Id="rId3" Type="http://schemas.openxmlformats.org/officeDocument/2006/relationships/hyperlink" Target="TCS_Football_Field.xlsx" TargetMode="External"/><Relationship Id="rId4" Type="http://schemas.openxmlformats.org/officeDocument/2006/relationships/hyperlink" Target="TCS_Football_Field.xlsx" TargetMode="External"/><Relationship Id="rId5" Type="http://schemas.openxmlformats.org/officeDocument/2006/relationships/hyperlink" Target="TCS_Football_Field.xlsx" TargetMode="External"/><Relationship Id="rId6" Type="http://schemas.openxmlformats.org/officeDocument/2006/relationships/hyperlink" Target="TCS_Football_Field.xlsx" TargetMode="Externa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4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0"/>
    <col collapsed="false" customWidth="true" hidden="false" outlineLevel="0" max="3" min="3" style="0" width="62"/>
    <col collapsed="false" customWidth="true" hidden="false" outlineLevel="0" max="4" min="4" style="0" width="3"/>
    <col collapsed="false" customWidth="true" hidden="false" outlineLevel="0" max="5" min="5" style="0" width="24"/>
    <col collapsed="false" customWidth="true" hidden="false" outlineLevel="0" max="6" min="6" style="0" width="14"/>
  </cols>
  <sheetData>
    <row r="1" customFormat="false" ht="7.5" hidden="false" customHeight="true" outlineLevel="0" collapsed="false">
      <c r="A1" s="1"/>
    </row>
    <row r="2" customFormat="false" ht="15" hidden="false" customHeight="false" outlineLevel="0" collapsed="false">
      <c r="A2" s="1"/>
    </row>
    <row r="3" customFormat="false" ht="15" hidden="false" customHeight="false" outlineLevel="0" collapsed="false">
      <c r="A3" s="1"/>
      <c r="B3" s="2" t="s">
        <v>0</v>
      </c>
    </row>
    <row r="4" customFormat="false" ht="31.5" hidden="false" customHeight="true" outlineLevel="0" collapsed="false">
      <c r="A4" s="1"/>
      <c r="B4" s="3" t="s">
        <v>1</v>
      </c>
    </row>
    <row r="5" customFormat="false" ht="21.75" hidden="false" customHeight="true" outlineLevel="0" collapsed="false">
      <c r="A5" s="1"/>
      <c r="B5" s="4" t="s">
        <v>2</v>
      </c>
    </row>
    <row r="6" customFormat="false" ht="15" hidden="false" customHeight="false" outlineLevel="0" collapsed="false">
      <c r="A6" s="1"/>
      <c r="B6" s="5" t="s">
        <v>3</v>
      </c>
    </row>
    <row r="7" customFormat="false" ht="3" hidden="false" customHeight="true" outlineLevel="0" collapsed="false">
      <c r="A7" s="1"/>
      <c r="B7" s="6"/>
      <c r="C7" s="6"/>
      <c r="D7" s="6"/>
      <c r="E7" s="6"/>
      <c r="F7" s="6"/>
    </row>
    <row r="8" customFormat="false" ht="15" hidden="false" customHeight="false" outlineLevel="0" collapsed="false">
      <c r="A8" s="1"/>
    </row>
    <row r="9" customFormat="false" ht="45" hidden="false" customHeight="true" outlineLevel="0" collapsed="false">
      <c r="A9" s="1"/>
      <c r="B9" s="7" t="s">
        <v>4</v>
      </c>
      <c r="C9" s="8" t="s">
        <v>5</v>
      </c>
      <c r="D9" s="8"/>
      <c r="E9" s="8"/>
      <c r="F9" s="8"/>
    </row>
    <row r="10" customFormat="false" ht="15" hidden="false" customHeight="false" outlineLevel="0" collapsed="false">
      <c r="A10" s="1"/>
    </row>
    <row r="11" customFormat="false" ht="45" hidden="false" customHeight="true" outlineLevel="0" collapsed="false">
      <c r="A11" s="1"/>
      <c r="B11" s="7" t="s">
        <v>6</v>
      </c>
      <c r="C11" s="8" t="s">
        <v>7</v>
      </c>
      <c r="D11" s="8"/>
      <c r="E11" s="8"/>
      <c r="F11" s="8"/>
    </row>
    <row r="12" customFormat="false" ht="30" hidden="false" customHeight="true" outlineLevel="0" collapsed="false">
      <c r="A12" s="1"/>
      <c r="C12" s="8" t="s">
        <v>8</v>
      </c>
      <c r="D12" s="8"/>
      <c r="E12" s="8"/>
      <c r="F12" s="8"/>
    </row>
    <row r="13" customFormat="false" ht="45" hidden="false" customHeight="true" outlineLevel="0" collapsed="false">
      <c r="A13" s="1"/>
      <c r="C13" s="8" t="s">
        <v>9</v>
      </c>
      <c r="D13" s="8"/>
      <c r="E13" s="8"/>
      <c r="F13" s="8"/>
    </row>
    <row r="14" customFormat="false" ht="30" hidden="false" customHeight="true" outlineLevel="0" collapsed="false">
      <c r="A14" s="1"/>
      <c r="C14" s="8" t="s">
        <v>10</v>
      </c>
      <c r="D14" s="8"/>
      <c r="E14" s="8"/>
      <c r="F14" s="8"/>
    </row>
    <row r="15" customFormat="false" ht="15" hidden="false" customHeight="false" outlineLevel="0" collapsed="false">
      <c r="A15" s="1"/>
    </row>
    <row r="16" customFormat="false" ht="15" hidden="false" customHeight="false" outlineLevel="0" collapsed="false">
      <c r="A16" s="1"/>
      <c r="B16" s="7" t="s">
        <v>11</v>
      </c>
      <c r="C16" s="9" t="s">
        <v>12</v>
      </c>
      <c r="D16" s="9"/>
      <c r="E16" s="9"/>
      <c r="F16" s="9"/>
    </row>
    <row r="17" customFormat="false" ht="15" hidden="false" customHeight="false" outlineLevel="0" collapsed="false">
      <c r="A17" s="1"/>
      <c r="C17" s="9" t="s">
        <v>13</v>
      </c>
      <c r="D17" s="9"/>
      <c r="E17" s="9"/>
      <c r="F17" s="9"/>
    </row>
    <row r="18" customFormat="false" ht="15" hidden="false" customHeight="false" outlineLevel="0" collapsed="false">
      <c r="A18" s="1"/>
      <c r="C18" s="9" t="s">
        <v>14</v>
      </c>
      <c r="D18" s="9"/>
      <c r="E18" s="9"/>
      <c r="F18" s="9"/>
    </row>
    <row r="19" customFormat="false" ht="15" hidden="false" customHeight="false" outlineLevel="0" collapsed="false">
      <c r="A19" s="1"/>
      <c r="C19" s="9" t="s">
        <v>15</v>
      </c>
      <c r="D19" s="9"/>
      <c r="E19" s="9"/>
      <c r="F19" s="9"/>
    </row>
    <row r="20" customFormat="false" ht="15" hidden="false" customHeight="false" outlineLevel="0" collapsed="false">
      <c r="A20" s="1"/>
      <c r="C20" s="9" t="s">
        <v>16</v>
      </c>
      <c r="D20" s="9"/>
      <c r="E20" s="9"/>
      <c r="F20" s="9"/>
    </row>
    <row r="21" customFormat="false" ht="15" hidden="false" customHeight="false" outlineLevel="0" collapsed="false">
      <c r="A21" s="1"/>
      <c r="C21" s="9" t="s">
        <v>17</v>
      </c>
      <c r="D21" s="9"/>
      <c r="E21" s="9"/>
      <c r="F21" s="9"/>
    </row>
    <row r="22" customFormat="false" ht="15" hidden="false" customHeight="false" outlineLevel="0" collapsed="false">
      <c r="A22" s="1"/>
    </row>
    <row r="23" customFormat="false" ht="15" hidden="false" customHeight="false" outlineLevel="0" collapsed="false">
      <c r="A23" s="1"/>
      <c r="B23" s="7" t="s">
        <v>18</v>
      </c>
      <c r="C23" s="10" t="s">
        <v>19</v>
      </c>
      <c r="D23" s="11"/>
      <c r="E23" s="12" t="n">
        <f aca="false">DCF!K39</f>
        <v>1952.74313360818</v>
      </c>
    </row>
    <row r="24" customFormat="false" ht="15" hidden="false" customHeight="false" outlineLevel="0" collapsed="false">
      <c r="A24" s="1"/>
      <c r="C24" s="10" t="s">
        <v>20</v>
      </c>
      <c r="D24" s="11"/>
      <c r="E24" s="12" t="n">
        <f aca="false">Inputs!$C$5</f>
        <v>2200.8</v>
      </c>
    </row>
    <row r="25" customFormat="false" ht="15" hidden="false" customHeight="false" outlineLevel="0" collapsed="false">
      <c r="A25" s="1"/>
      <c r="C25" s="10" t="s">
        <v>21</v>
      </c>
      <c r="D25" s="11"/>
      <c r="E25" s="12" t="n">
        <f aca="false">Ranges!C16</f>
        <v>1675.90298537021</v>
      </c>
    </row>
    <row r="26" customFormat="false" ht="15" hidden="false" customHeight="false" outlineLevel="0" collapsed="false">
      <c r="A26" s="1"/>
      <c r="C26" s="10" t="s">
        <v>22</v>
      </c>
      <c r="D26" s="11"/>
      <c r="E26" s="12" t="n">
        <f aca="false">Ranges!E16</f>
        <v>2145.02861871676</v>
      </c>
    </row>
    <row r="27" customFormat="false" ht="15" hidden="false" customHeight="false" outlineLevel="0" collapsed="false">
      <c r="A27" s="1"/>
      <c r="C27" s="10" t="s">
        <v>23</v>
      </c>
      <c r="D27" s="11"/>
      <c r="E27" s="13" t="n">
        <f aca="false">Inputs!$C$22</f>
        <v>0.13302523</v>
      </c>
    </row>
    <row r="28" customFormat="false" ht="15" hidden="false" customHeight="false" outlineLevel="0" collapsed="false">
      <c r="A28" s="1"/>
      <c r="C28" s="10" t="s">
        <v>24</v>
      </c>
      <c r="D28" s="11"/>
      <c r="E28" s="13" t="n">
        <f aca="false">DCF!K35</f>
        <v>0.698178262191185</v>
      </c>
    </row>
    <row r="29" customFormat="false" ht="15" hidden="false" customHeight="false" outlineLevel="0" collapsed="false">
      <c r="A29" s="1"/>
    </row>
    <row r="30" customFormat="false" ht="15" hidden="false" customHeight="false" outlineLevel="0" collapsed="false">
      <c r="A30" s="1"/>
      <c r="B30" s="7" t="s">
        <v>25</v>
      </c>
      <c r="C30" s="14" t="s">
        <v>26</v>
      </c>
    </row>
    <row r="31" customFormat="false" ht="15" hidden="false" customHeight="false" outlineLevel="0" collapsed="false">
      <c r="A31" s="1"/>
      <c r="C31" s="15" t="s">
        <v>27</v>
      </c>
    </row>
    <row r="32" customFormat="false" ht="15" hidden="false" customHeight="false" outlineLevel="0" collapsed="false">
      <c r="A32" s="1"/>
      <c r="C32" s="16" t="s">
        <v>28</v>
      </c>
    </row>
    <row r="33" customFormat="false" ht="15" hidden="false" customHeight="false" outlineLevel="0" collapsed="false">
      <c r="A33" s="1"/>
      <c r="C33" s="17" t="s">
        <v>29</v>
      </c>
    </row>
    <row r="34" customFormat="false" ht="15" hidden="false" customHeight="false" outlineLevel="0" collapsed="false">
      <c r="A34" s="1"/>
    </row>
    <row r="35" customFormat="false" ht="27.75" hidden="false" customHeight="true" outlineLevel="0" collapsed="false">
      <c r="A35" s="1"/>
      <c r="B35" s="7" t="s">
        <v>30</v>
      </c>
      <c r="C35" s="18" t="s">
        <v>31</v>
      </c>
      <c r="D35" s="18"/>
      <c r="E35" s="18"/>
      <c r="F35" s="18"/>
    </row>
    <row r="36" customFormat="false" ht="27.75" hidden="false" customHeight="true" outlineLevel="0" collapsed="false">
      <c r="A36" s="1"/>
      <c r="C36" s="18" t="s">
        <v>32</v>
      </c>
      <c r="D36" s="18"/>
      <c r="E36" s="18"/>
      <c r="F36" s="18"/>
    </row>
    <row r="37" customFormat="false" ht="13.5" hidden="false" customHeight="true" outlineLevel="0" collapsed="false">
      <c r="A37" s="1"/>
      <c r="C37" s="18" t="s">
        <v>33</v>
      </c>
      <c r="D37" s="18"/>
      <c r="E37" s="18"/>
      <c r="F37" s="18"/>
    </row>
    <row r="38" customFormat="false" ht="27.75" hidden="false" customHeight="true" outlineLevel="0" collapsed="false">
      <c r="A38" s="1"/>
      <c r="C38" s="18" t="s">
        <v>34</v>
      </c>
      <c r="D38" s="18"/>
      <c r="E38" s="18"/>
      <c r="F38" s="18"/>
    </row>
    <row r="39" customFormat="false" ht="27.75" hidden="false" customHeight="true" outlineLevel="0" collapsed="false">
      <c r="A39" s="1"/>
      <c r="C39" s="18" t="s">
        <v>35</v>
      </c>
      <c r="D39" s="18"/>
      <c r="E39" s="18"/>
      <c r="F39" s="18"/>
    </row>
    <row r="40" customFormat="false" ht="13.5" hidden="false" customHeight="true" outlineLevel="0" collapsed="false">
      <c r="A40" s="1"/>
      <c r="C40" s="18" t="s">
        <v>36</v>
      </c>
      <c r="D40" s="18"/>
      <c r="E40" s="18"/>
      <c r="F40" s="18"/>
    </row>
    <row r="41" customFormat="false" ht="15" hidden="false" customHeight="false" outlineLevel="0" collapsed="false">
      <c r="A41" s="1"/>
    </row>
    <row r="42" customFormat="false" ht="15" hidden="false" customHeight="false" outlineLevel="0" collapsed="false">
      <c r="A42" s="1"/>
      <c r="B42" s="7" t="s">
        <v>37</v>
      </c>
      <c r="C42" s="19" t="s">
        <v>38</v>
      </c>
    </row>
    <row r="43" customFormat="false" ht="15" hidden="false" customHeight="false" outlineLevel="0" collapsed="false">
      <c r="A43" s="1"/>
    </row>
    <row r="44" customFormat="false" ht="15" hidden="false" customHeight="false" outlineLevel="0" collapsed="false">
      <c r="A44" s="1"/>
    </row>
    <row r="45" customFormat="false" ht="15" hidden="false" customHeight="false" outlineLevel="0" collapsed="false">
      <c r="A45" s="1"/>
    </row>
  </sheetData>
  <mergeCells count="17">
    <mergeCell ref="C9:F9"/>
    <mergeCell ref="C11:F11"/>
    <mergeCell ref="C12:F12"/>
    <mergeCell ref="C13:F13"/>
    <mergeCell ref="C14:F14"/>
    <mergeCell ref="C16:F16"/>
    <mergeCell ref="C17:F17"/>
    <mergeCell ref="C18:F18"/>
    <mergeCell ref="C19:F19"/>
    <mergeCell ref="C20:F20"/>
    <mergeCell ref="C21:F21"/>
    <mergeCell ref="C35:F35"/>
    <mergeCell ref="C36:F36"/>
    <mergeCell ref="C37:F37"/>
    <mergeCell ref="C38:F38"/>
    <mergeCell ref="C39:F39"/>
    <mergeCell ref="C40:F40"/>
  </mergeCells>
  <hyperlinks>
    <hyperlink ref="C16" r:id="rId1" location="'Football%20Field'!A1" display="Football Field  —  the chart and the data behind it"/>
    <hyperlink ref="C17" r:id="rId2" location="'Ranges'!A1" display="Ranges  —  every bar, its source and its caveat"/>
    <hyperlink ref="C18" r:id="rId3" location="'DCF'!A1" display="DCF  —  five-year forecast, terminal value both ways, sensitivity grid"/>
    <hyperlink ref="C19" r:id="rId4" location="'WACC'!A1" display="WACC  —  beta regressions accepted and rejected, cost of capital build"/>
    <hyperlink ref="C20" r:id="rId5" location="'Inputs'!A1" display="Inputs  —  market data, cost of capital and forecast drivers"/>
    <hyperlink ref="C21" r:id="rId6" location="'Checks'!A1" display="Checks  —  eighteen tests; must read MODEL OK"/>
  </hyperlinks>
  <printOptions headings="false" gridLines="false" gridLinesSet="true" horizontalCentered="true" verticalCentered="false"/>
  <pageMargins left="0.4" right="0.4" top="0.5" bottom="0.55" header="0.5" footer="0.5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>&amp;L&amp;"Arial,Bold"&amp;8Tata Consultancy Services — Football Field and Valuation Summary&amp;R&amp;"Arial,Regular"&amp;8Cover</oddHeader>
    <oddFooter>&amp;L&amp;"Arial,Regular"&amp;8Jainam Mehta · github.com/jainammehta1215/ib-portfolio&amp;C&amp;"Arial,Regular"&amp;8Blue = input · Black = formula · Green = link&amp;R&amp;"Arial,Regular"&amp;8Page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3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.5"/>
    <col collapsed="false" customWidth="true" hidden="false" outlineLevel="0" max="2" min="2" style="0" width="48"/>
    <col collapsed="false" customWidth="true" hidden="false" outlineLevel="0" max="5" min="3" style="0" width="12"/>
    <col collapsed="false" customWidth="true" hidden="false" outlineLevel="0" max="6" min="6" style="0" width="66"/>
  </cols>
  <sheetData>
    <row r="1" customFormat="false" ht="30" hidden="false" customHeight="true" outlineLevel="0" collapsed="false">
      <c r="A1" s="1"/>
      <c r="B1" s="20" t="s">
        <v>39</v>
      </c>
      <c r="C1" s="1"/>
      <c r="D1" s="1"/>
      <c r="E1" s="1"/>
      <c r="F1" s="21" t="s">
        <v>40</v>
      </c>
    </row>
    <row r="2" customFormat="false" ht="18" hidden="false" customHeight="true" outlineLevel="0" collapsed="false">
      <c r="A2" s="1"/>
      <c r="B2" s="22" t="s">
        <v>41</v>
      </c>
      <c r="C2" s="1"/>
      <c r="D2" s="1"/>
      <c r="E2" s="1"/>
      <c r="F2" s="1"/>
    </row>
    <row r="4" customFormat="false" ht="15.75" hidden="false" customHeight="true" outlineLevel="0" collapsed="false">
      <c r="B4" s="23" t="s">
        <v>42</v>
      </c>
      <c r="C4" s="1"/>
      <c r="D4" s="1"/>
      <c r="E4" s="1"/>
      <c r="F4" s="1"/>
    </row>
    <row r="5" customFormat="false" ht="15" hidden="false" customHeight="false" outlineLevel="0" collapsed="false">
      <c r="B5" s="19" t="s">
        <v>43</v>
      </c>
      <c r="C5" s="24" t="n">
        <v>2200.8</v>
      </c>
      <c r="F5" s="25" t="s">
        <v>44</v>
      </c>
    </row>
    <row r="6" customFormat="false" ht="15" hidden="false" customHeight="false" outlineLevel="0" collapsed="false">
      <c r="B6" s="19" t="s">
        <v>45</v>
      </c>
      <c r="C6" s="24" t="n">
        <v>3350</v>
      </c>
      <c r="F6" s="25" t="s">
        <v>46</v>
      </c>
    </row>
    <row r="7" customFormat="false" ht="15" hidden="false" customHeight="false" outlineLevel="0" collapsed="false">
      <c r="B7" s="19" t="s">
        <v>47</v>
      </c>
      <c r="C7" s="24" t="n">
        <v>1976.8</v>
      </c>
      <c r="F7" s="25" t="s">
        <v>46</v>
      </c>
    </row>
    <row r="8" customFormat="false" ht="15" hidden="false" customHeight="false" outlineLevel="0" collapsed="false">
      <c r="B8" s="19" t="s">
        <v>48</v>
      </c>
      <c r="C8" s="26" t="n">
        <v>3618.087518</v>
      </c>
      <c r="F8" s="25" t="s">
        <v>49</v>
      </c>
    </row>
    <row r="9" customFormat="false" ht="15" hidden="false" customHeight="false" outlineLevel="0" collapsed="false">
      <c r="B9" s="19" t="s">
        <v>50</v>
      </c>
      <c r="C9" s="27" t="n">
        <v>0.010467</v>
      </c>
      <c r="F9" s="25" t="s">
        <v>51</v>
      </c>
    </row>
    <row r="10" customFormat="false" ht="15" hidden="false" customHeight="false" outlineLevel="0" collapsed="false">
      <c r="B10" s="19" t="s">
        <v>52</v>
      </c>
      <c r="C10" s="26" t="n">
        <v>3019.93884</v>
      </c>
      <c r="F10" s="25" t="s">
        <v>53</v>
      </c>
    </row>
    <row r="11" customFormat="false" ht="15" hidden="false" customHeight="false" outlineLevel="0" collapsed="false">
      <c r="B11" s="19" t="s">
        <v>54</v>
      </c>
      <c r="C11" s="28" t="n">
        <f aca="false">C10*95.54/1000</f>
        <v>288.5249567736</v>
      </c>
      <c r="F11" s="25" t="s">
        <v>55</v>
      </c>
    </row>
    <row r="13" customFormat="false" ht="15.75" hidden="false" customHeight="true" outlineLevel="0" collapsed="false">
      <c r="B13" s="23" t="s">
        <v>56</v>
      </c>
      <c r="C13" s="1"/>
      <c r="D13" s="1"/>
      <c r="E13" s="1"/>
      <c r="F13" s="1"/>
    </row>
    <row r="14" customFormat="false" ht="15" hidden="false" customHeight="false" outlineLevel="0" collapsed="false">
      <c r="B14" s="19" t="s">
        <v>57</v>
      </c>
      <c r="C14" s="29" t="n">
        <v>0.0702</v>
      </c>
      <c r="F14" s="25" t="s">
        <v>58</v>
      </c>
    </row>
    <row r="15" customFormat="false" ht="15" hidden="false" customHeight="false" outlineLevel="0" collapsed="false">
      <c r="B15" s="19" t="s">
        <v>59</v>
      </c>
      <c r="C15" s="30" t="n">
        <v>0.907</v>
      </c>
      <c r="F15" s="25" t="s">
        <v>60</v>
      </c>
    </row>
    <row r="16" customFormat="false" ht="15" hidden="false" customHeight="false" outlineLevel="0" collapsed="false">
      <c r="B16" s="19" t="s">
        <v>61</v>
      </c>
      <c r="C16" s="31" t="n">
        <f aca="false">0.67*C15+0.33</f>
        <v>0.93769</v>
      </c>
      <c r="F16" s="25" t="s">
        <v>62</v>
      </c>
    </row>
    <row r="17" customFormat="false" ht="15" hidden="false" customHeight="false" outlineLevel="0" collapsed="false">
      <c r="B17" s="19" t="s">
        <v>63</v>
      </c>
      <c r="C17" s="29" t="n">
        <v>0.045</v>
      </c>
      <c r="F17" s="25" t="s">
        <v>64</v>
      </c>
    </row>
    <row r="18" customFormat="false" ht="22.35" hidden="false" customHeight="false" outlineLevel="0" collapsed="false">
      <c r="B18" s="19" t="s">
        <v>65</v>
      </c>
      <c r="C18" s="29" t="n">
        <v>0.022</v>
      </c>
      <c r="F18" s="25" t="s">
        <v>66</v>
      </c>
    </row>
    <row r="19" customFormat="false" ht="15" hidden="false" customHeight="false" outlineLevel="0" collapsed="false">
      <c r="B19" s="19" t="s">
        <v>67</v>
      </c>
      <c r="C19" s="32" t="n">
        <f aca="false">C17+C18</f>
        <v>0.067</v>
      </c>
      <c r="F19" s="25" t="s">
        <v>68</v>
      </c>
    </row>
    <row r="20" customFormat="false" ht="15" hidden="false" customHeight="false" outlineLevel="0" collapsed="false">
      <c r="B20" s="19" t="s">
        <v>69</v>
      </c>
      <c r="C20" s="32" t="n">
        <f aca="false">C14+C16*C19</f>
        <v>0.13302523</v>
      </c>
      <c r="F20" s="25" t="s">
        <v>70</v>
      </c>
    </row>
    <row r="21" customFormat="false" ht="22.35" hidden="false" customHeight="false" outlineLevel="0" collapsed="false">
      <c r="B21" s="19" t="s">
        <v>71</v>
      </c>
      <c r="C21" s="29" t="n">
        <v>0</v>
      </c>
      <c r="F21" s="25" t="s">
        <v>72</v>
      </c>
    </row>
    <row r="22" customFormat="false" ht="15" hidden="false" customHeight="false" outlineLevel="0" collapsed="false">
      <c r="B22" s="19" t="s">
        <v>23</v>
      </c>
      <c r="C22" s="32" t="n">
        <f aca="false">C20*(1-C21)</f>
        <v>0.13302523</v>
      </c>
      <c r="F22" s="25" t="s">
        <v>73</v>
      </c>
    </row>
    <row r="24" customFormat="false" ht="15.75" hidden="false" customHeight="true" outlineLevel="0" collapsed="false">
      <c r="B24" s="23" t="s">
        <v>74</v>
      </c>
      <c r="C24" s="1"/>
      <c r="D24" s="1"/>
      <c r="E24" s="1"/>
      <c r="F24" s="1"/>
    </row>
    <row r="25" customFormat="false" ht="15" hidden="false" customHeight="false" outlineLevel="0" collapsed="false">
      <c r="B25" s="19" t="s">
        <v>75</v>
      </c>
      <c r="C25" s="29" t="n">
        <v>0.255</v>
      </c>
      <c r="F25" s="25" t="s">
        <v>76</v>
      </c>
    </row>
    <row r="26" customFormat="false" ht="15" hidden="false" customHeight="false" outlineLevel="0" collapsed="false">
      <c r="B26" s="19" t="s">
        <v>77</v>
      </c>
      <c r="C26" s="29" t="n">
        <v>0.021</v>
      </c>
      <c r="F26" s="25" t="s">
        <v>78</v>
      </c>
    </row>
    <row r="27" customFormat="false" ht="15" hidden="false" customHeight="false" outlineLevel="0" collapsed="false">
      <c r="B27" s="19" t="s">
        <v>79</v>
      </c>
      <c r="C27" s="29" t="n">
        <v>0.016</v>
      </c>
      <c r="F27" s="25" t="s">
        <v>80</v>
      </c>
    </row>
    <row r="28" customFormat="false" ht="15" hidden="false" customHeight="false" outlineLevel="0" collapsed="false">
      <c r="B28" s="19" t="s">
        <v>81</v>
      </c>
      <c r="C28" s="29" t="n">
        <v>0.15</v>
      </c>
      <c r="F28" s="25" t="s">
        <v>82</v>
      </c>
    </row>
    <row r="29" customFormat="false" ht="15" hidden="false" customHeight="false" outlineLevel="0" collapsed="false">
      <c r="B29" s="19" t="s">
        <v>83</v>
      </c>
      <c r="C29" s="29" t="n">
        <v>0.055</v>
      </c>
      <c r="F29" s="25" t="s">
        <v>84</v>
      </c>
    </row>
    <row r="30" customFormat="false" ht="15" hidden="false" customHeight="false" outlineLevel="0" collapsed="false">
      <c r="B30" s="19" t="s">
        <v>85</v>
      </c>
      <c r="C30" s="33" t="n">
        <v>11</v>
      </c>
      <c r="F30" s="25" t="s">
        <v>86</v>
      </c>
    </row>
    <row r="31" customFormat="false" ht="15" hidden="false" customHeight="false" outlineLevel="0" collapsed="false">
      <c r="B31" s="19" t="s">
        <v>87</v>
      </c>
      <c r="C31" s="34" t="n">
        <v>1</v>
      </c>
      <c r="F31" s="25" t="s">
        <v>88</v>
      </c>
    </row>
    <row r="33" customFormat="false" ht="15.75" hidden="false" customHeight="true" outlineLevel="0" collapsed="false">
      <c r="B33" s="23" t="s">
        <v>89</v>
      </c>
      <c r="C33" s="1"/>
      <c r="D33" s="1"/>
      <c r="E33" s="1"/>
      <c r="F33" s="1"/>
    </row>
    <row r="34" customFormat="false" ht="15" hidden="false" customHeight="false" outlineLevel="0" collapsed="false">
      <c r="B34" s="19" t="s">
        <v>90</v>
      </c>
      <c r="C34" s="24" t="n">
        <v>1775</v>
      </c>
      <c r="F34" s="25" t="s">
        <v>91</v>
      </c>
    </row>
    <row r="35" customFormat="false" ht="15" hidden="false" customHeight="false" outlineLevel="0" collapsed="false">
      <c r="B35" s="19" t="s">
        <v>92</v>
      </c>
      <c r="C35" s="24" t="n">
        <v>2943.65</v>
      </c>
      <c r="F35" s="25" t="s">
        <v>93</v>
      </c>
    </row>
    <row r="36" customFormat="false" ht="15" hidden="false" customHeight="false" outlineLevel="0" collapsed="false">
      <c r="B36" s="19" t="s">
        <v>94</v>
      </c>
      <c r="C36" s="24" t="n">
        <v>3900</v>
      </c>
      <c r="F36" s="25" t="s">
        <v>95</v>
      </c>
    </row>
    <row r="37" customFormat="false" ht="15" hidden="false" customHeight="false" outlineLevel="0" collapsed="false">
      <c r="B37" s="19" t="s">
        <v>96</v>
      </c>
      <c r="C37" s="34" t="n">
        <v>43</v>
      </c>
      <c r="F37" s="25" t="s">
        <v>97</v>
      </c>
    </row>
    <row r="39" customFormat="false" ht="39.75" hidden="false" customHeight="true" outlineLevel="0" collapsed="false">
      <c r="B39" s="18" t="s">
        <v>98</v>
      </c>
      <c r="C39" s="18"/>
      <c r="D39" s="18"/>
      <c r="E39" s="18"/>
      <c r="F39" s="18"/>
    </row>
  </sheetData>
  <mergeCells count="1">
    <mergeCell ref="B39:F39"/>
  </mergeCells>
  <printOptions headings="false" gridLines="false" gridLinesSet="true" horizontalCentered="true" verticalCentered="false"/>
  <pageMargins left="0.4" right="0.4" top="0.5" bottom="0.55" header="0.5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>&amp;L&amp;"Arial,Bold"&amp;8Tata Consultancy Services — Football Field and Valuation Summary&amp;R&amp;"Arial,Regular"&amp;8Inputs</oddHeader>
    <oddFooter>&amp;L&amp;"Arial,Regular"&amp;8Jainam Mehta · github.com/jainammehta1215/ib-portfolio&amp;C&amp;"Arial,Regular"&amp;8Blue = input · Black = formula · Green = link&amp;R&amp;"Arial,Regular"&amp;8Page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.5"/>
    <col collapsed="false" customWidth="true" hidden="false" outlineLevel="0" max="2" min="2" style="0" width="44"/>
    <col collapsed="false" customWidth="true" hidden="false" outlineLevel="0" max="6" min="3" style="0" width="14"/>
    <col collapsed="false" customWidth="true" hidden="false" outlineLevel="0" max="7" min="7" style="0" width="60"/>
  </cols>
  <sheetData>
    <row r="1" customFormat="false" ht="30" hidden="false" customHeight="true" outlineLevel="0" collapsed="false">
      <c r="A1" s="1"/>
      <c r="B1" s="20" t="s">
        <v>39</v>
      </c>
      <c r="C1" s="1"/>
      <c r="D1" s="1"/>
      <c r="E1" s="1"/>
      <c r="F1" s="1"/>
      <c r="G1" s="21" t="s">
        <v>40</v>
      </c>
    </row>
    <row r="2" customFormat="false" ht="18" hidden="false" customHeight="true" outlineLevel="0" collapsed="false">
      <c r="A2" s="1"/>
      <c r="B2" s="22" t="s">
        <v>99</v>
      </c>
      <c r="C2" s="1"/>
      <c r="D2" s="1"/>
      <c r="E2" s="1"/>
      <c r="F2" s="1"/>
      <c r="G2" s="1"/>
    </row>
    <row r="4" customFormat="false" ht="15.75" hidden="false" customHeight="true" outlineLevel="0" collapsed="false">
      <c r="B4" s="23" t="s">
        <v>100</v>
      </c>
      <c r="C4" s="1"/>
      <c r="D4" s="1"/>
      <c r="E4" s="1"/>
      <c r="F4" s="1"/>
      <c r="G4" s="1"/>
    </row>
    <row r="5" customFormat="false" ht="18" hidden="false" customHeight="true" outlineLevel="0" collapsed="false">
      <c r="B5" s="35" t="s">
        <v>101</v>
      </c>
      <c r="C5" s="36" t="s">
        <v>102</v>
      </c>
      <c r="D5" s="36" t="s">
        <v>103</v>
      </c>
      <c r="E5" s="36"/>
      <c r="F5" s="36"/>
    </row>
    <row r="6" customFormat="false" ht="15" hidden="false" customHeight="false" outlineLevel="0" collapsed="false">
      <c r="B6" s="35" t="s">
        <v>104</v>
      </c>
      <c r="C6" s="30" t="n">
        <v>0.907</v>
      </c>
      <c r="D6" s="37" t="n">
        <v>0.28</v>
      </c>
      <c r="G6" s="25" t="s">
        <v>105</v>
      </c>
    </row>
    <row r="8" customFormat="false" ht="15.75" hidden="false" customHeight="true" outlineLevel="0" collapsed="false">
      <c r="B8" s="23" t="s">
        <v>106</v>
      </c>
      <c r="C8" s="1"/>
      <c r="D8" s="1"/>
      <c r="E8" s="1"/>
      <c r="F8" s="1"/>
      <c r="G8" s="1"/>
    </row>
    <row r="9" customFormat="false" ht="18" hidden="false" customHeight="true" outlineLevel="0" collapsed="false">
      <c r="B9" s="35" t="s">
        <v>101</v>
      </c>
      <c r="C9" s="36" t="s">
        <v>102</v>
      </c>
      <c r="D9" s="36" t="s">
        <v>103</v>
      </c>
      <c r="E9" s="36"/>
      <c r="F9" s="36"/>
    </row>
    <row r="10" customFormat="false" ht="15" hidden="false" customHeight="false" outlineLevel="0" collapsed="false">
      <c r="B10" s="19" t="s">
        <v>107</v>
      </c>
      <c r="C10" s="30" t="n">
        <v>0.14</v>
      </c>
      <c r="D10" s="37" t="n">
        <v>0.01</v>
      </c>
      <c r="G10" s="25" t="s">
        <v>108</v>
      </c>
    </row>
    <row r="11" customFormat="false" ht="15" hidden="false" customHeight="false" outlineLevel="0" collapsed="false">
      <c r="B11" s="19" t="s">
        <v>109</v>
      </c>
      <c r="C11" s="30" t="n">
        <v>0.24</v>
      </c>
      <c r="D11" s="37" t="n">
        <v>0.02</v>
      </c>
      <c r="G11" s="25" t="s">
        <v>110</v>
      </c>
    </row>
    <row r="12" customFormat="false" ht="15" hidden="false" customHeight="false" outlineLevel="0" collapsed="false">
      <c r="B12" s="19" t="s">
        <v>111</v>
      </c>
      <c r="C12" s="30" t="n">
        <v>0.062</v>
      </c>
      <c r="D12" s="37" t="n">
        <v>0</v>
      </c>
      <c r="G12" s="25" t="s">
        <v>112</v>
      </c>
    </row>
    <row r="13" customFormat="false" ht="15" hidden="false" customHeight="false" outlineLevel="0" collapsed="false">
      <c r="B13" s="19" t="s">
        <v>113</v>
      </c>
      <c r="C13" s="30" t="n">
        <v>0.326</v>
      </c>
      <c r="D13" s="37" t="n">
        <v>0.04</v>
      </c>
      <c r="G13" s="25" t="s">
        <v>114</v>
      </c>
    </row>
    <row r="14" customFormat="false" ht="15" hidden="false" customHeight="false" outlineLevel="0" collapsed="false">
      <c r="B14" s="19" t="s">
        <v>115</v>
      </c>
      <c r="C14" s="30" t="n">
        <v>0.975</v>
      </c>
      <c r="D14" s="37" t="n">
        <v>0.24</v>
      </c>
      <c r="G14" s="25" t="s">
        <v>116</v>
      </c>
    </row>
    <row r="15" customFormat="false" ht="15" hidden="false" customHeight="false" outlineLevel="0" collapsed="false">
      <c r="B15" s="19" t="s">
        <v>117</v>
      </c>
      <c r="C15" s="30" t="n">
        <v>0.908</v>
      </c>
      <c r="D15" s="37" t="n">
        <v>0.23</v>
      </c>
      <c r="G15" s="25" t="s">
        <v>116</v>
      </c>
    </row>
    <row r="16" customFormat="false" ht="15" hidden="false" customHeight="false" outlineLevel="0" collapsed="false">
      <c r="B16" s="19" t="s">
        <v>118</v>
      </c>
      <c r="C16" s="30" t="n">
        <v>1.485</v>
      </c>
      <c r="D16" s="37" t="n">
        <v>0.16</v>
      </c>
      <c r="G16" s="25" t="s">
        <v>116</v>
      </c>
    </row>
    <row r="18" customFormat="false" ht="63.75" hidden="false" customHeight="true" outlineLevel="0" collapsed="false">
      <c r="B18" s="18" t="s">
        <v>119</v>
      </c>
      <c r="C18" s="18"/>
      <c r="D18" s="18"/>
      <c r="E18" s="18"/>
      <c r="F18" s="18"/>
      <c r="G18" s="18"/>
    </row>
    <row r="20" customFormat="false" ht="15.75" hidden="false" customHeight="true" outlineLevel="0" collapsed="false">
      <c r="B20" s="23" t="s">
        <v>120</v>
      </c>
      <c r="C20" s="1"/>
      <c r="D20" s="1"/>
      <c r="E20" s="1"/>
      <c r="F20" s="1"/>
      <c r="G20" s="1"/>
    </row>
    <row r="21" customFormat="false" ht="15" hidden="false" customHeight="false" outlineLevel="0" collapsed="false">
      <c r="B21" s="19" t="s">
        <v>121</v>
      </c>
      <c r="C21" s="38" t="n">
        <f aca="false">Inputs!$C$14</f>
        <v>0.0702</v>
      </c>
    </row>
    <row r="22" customFormat="false" ht="15" hidden="false" customHeight="false" outlineLevel="0" collapsed="false">
      <c r="B22" s="19" t="s">
        <v>102</v>
      </c>
      <c r="C22" s="39" t="n">
        <f aca="false">Inputs!$C$15</f>
        <v>0.907</v>
      </c>
    </row>
    <row r="23" customFormat="false" ht="15" hidden="false" customHeight="false" outlineLevel="0" collapsed="false">
      <c r="B23" s="19" t="s">
        <v>61</v>
      </c>
      <c r="C23" s="39" t="n">
        <f aca="false">Inputs!$C$16</f>
        <v>0.93769</v>
      </c>
    </row>
    <row r="24" customFormat="false" ht="15" hidden="false" customHeight="false" outlineLevel="0" collapsed="false">
      <c r="B24" s="19" t="s">
        <v>67</v>
      </c>
      <c r="C24" s="38" t="n">
        <f aca="false">Inputs!$C$19</f>
        <v>0.067</v>
      </c>
    </row>
    <row r="25" customFormat="false" ht="15" hidden="false" customHeight="false" outlineLevel="0" collapsed="false">
      <c r="B25" s="35" t="s">
        <v>69</v>
      </c>
      <c r="C25" s="38" t="n">
        <f aca="false">Inputs!$C$20</f>
        <v>0.13302523</v>
      </c>
    </row>
    <row r="26" customFormat="false" ht="15" hidden="false" customHeight="false" outlineLevel="0" collapsed="false">
      <c r="B26" s="35" t="s">
        <v>23</v>
      </c>
      <c r="C26" s="40" t="n">
        <f aca="false">Inputs!$C$22</f>
        <v>0.13302523</v>
      </c>
    </row>
    <row r="28" customFormat="false" ht="27.75" hidden="false" customHeight="true" outlineLevel="0" collapsed="false">
      <c r="B28" s="18" t="s">
        <v>122</v>
      </c>
      <c r="C28" s="18"/>
      <c r="D28" s="18"/>
      <c r="E28" s="18"/>
      <c r="F28" s="18"/>
      <c r="G28" s="18"/>
    </row>
  </sheetData>
  <mergeCells count="2">
    <mergeCell ref="B18:G18"/>
    <mergeCell ref="B28:G28"/>
  </mergeCells>
  <printOptions headings="false" gridLines="false" gridLinesSet="true" horizontalCentered="true" verticalCentered="false"/>
  <pageMargins left="0.4" right="0.4" top="0.5" bottom="0.55" header="0.5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>&amp;L&amp;"Arial,Bold"&amp;8Tata Consultancy Services — Football Field and Valuation Summary&amp;R&amp;"Arial,Regular"&amp;8WACC</oddHeader>
    <oddFooter>&amp;L&amp;"Arial,Regular"&amp;8Jainam Mehta · github.com/jainammehta1215/ib-portfolio&amp;C&amp;"Arial,Regular"&amp;8Blue = input · Black = formula · Green = link&amp;R&amp;"Arial,Regular"&amp;8Page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5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.5"/>
    <col collapsed="false" customWidth="true" hidden="false" outlineLevel="0" max="2" min="2" style="0" width="44"/>
    <col collapsed="false" customWidth="true" hidden="false" outlineLevel="0" max="12" min="3" style="0" width="12.5"/>
  </cols>
  <sheetData>
    <row r="1" customFormat="false" ht="30" hidden="false" customHeight="true" outlineLevel="0" collapsed="false">
      <c r="A1" s="1"/>
      <c r="B1" s="20" t="s">
        <v>39</v>
      </c>
      <c r="C1" s="1"/>
      <c r="D1" s="1"/>
      <c r="E1" s="1"/>
      <c r="F1" s="1"/>
      <c r="G1" s="1"/>
      <c r="H1" s="1"/>
      <c r="I1" s="1"/>
      <c r="J1" s="1"/>
      <c r="K1" s="1"/>
      <c r="L1" s="21" t="s">
        <v>40</v>
      </c>
    </row>
    <row r="2" customFormat="false" ht="18" hidden="false" customHeight="true" outlineLevel="0" collapsed="false">
      <c r="A2" s="1"/>
      <c r="B2" s="22" t="s">
        <v>123</v>
      </c>
      <c r="C2" s="1"/>
      <c r="D2" s="1"/>
      <c r="E2" s="1"/>
      <c r="F2" s="1"/>
      <c r="G2" s="1"/>
      <c r="H2" s="1"/>
      <c r="I2" s="1"/>
      <c r="J2" s="1"/>
      <c r="K2" s="1"/>
      <c r="L2" s="1"/>
    </row>
    <row r="4" customFormat="false" ht="15.75" hidden="false" customHeight="true" outlineLevel="0" collapsed="false">
      <c r="B4" s="23" t="s">
        <v>124</v>
      </c>
      <c r="C4" s="1"/>
      <c r="D4" s="1"/>
      <c r="E4" s="1"/>
      <c r="F4" s="1"/>
      <c r="G4" s="1"/>
      <c r="H4" s="1"/>
      <c r="I4" s="1"/>
      <c r="J4" s="1"/>
      <c r="K4" s="1"/>
      <c r="L4" s="1"/>
    </row>
    <row r="5" customFormat="false" ht="18" hidden="false" customHeight="true" outlineLevel="0" collapsed="false">
      <c r="B5" s="35"/>
      <c r="C5" s="36" t="s">
        <v>125</v>
      </c>
      <c r="D5" s="36" t="s">
        <v>126</v>
      </c>
      <c r="E5" s="36" t="s">
        <v>127</v>
      </c>
      <c r="F5" s="36" t="s">
        <v>128</v>
      </c>
      <c r="G5" s="36" t="s">
        <v>129</v>
      </c>
      <c r="H5" s="36" t="s">
        <v>130</v>
      </c>
      <c r="I5" s="36" t="s">
        <v>131</v>
      </c>
      <c r="J5" s="36" t="s">
        <v>132</v>
      </c>
      <c r="K5" s="36" t="s">
        <v>133</v>
      </c>
    </row>
    <row r="6" customFormat="false" ht="15" hidden="false" customHeight="false" outlineLevel="0" collapsed="false">
      <c r="B6" s="35" t="s">
        <v>134</v>
      </c>
      <c r="C6" s="41" t="n">
        <v>2254.58</v>
      </c>
      <c r="D6" s="41" t="n">
        <v>2408.93</v>
      </c>
      <c r="E6" s="41" t="n">
        <v>2553.24</v>
      </c>
      <c r="F6" s="41" t="n">
        <v>2670.21</v>
      </c>
      <c r="G6" s="28" t="n">
        <f aca="false">F6*(1+G7)</f>
        <v>2750.3163</v>
      </c>
      <c r="H6" s="28" t="n">
        <f aca="false">G6*(1+H7)</f>
        <v>2860.328952</v>
      </c>
      <c r="I6" s="28" t="n">
        <f aca="false">H6*(1+I7)</f>
        <v>3003.3453996</v>
      </c>
      <c r="J6" s="28" t="n">
        <f aca="false">I6*(1+J7)</f>
        <v>3168.529396578</v>
      </c>
      <c r="K6" s="28" t="n">
        <f aca="false">J6*(1+K7)</f>
        <v>3358.64116037268</v>
      </c>
    </row>
    <row r="7" customFormat="false" ht="15" hidden="false" customHeight="false" outlineLevel="0" collapsed="false">
      <c r="B7" s="19" t="s">
        <v>135</v>
      </c>
      <c r="D7" s="32" t="n">
        <f aca="false">D6/C6-1</f>
        <v>0.0684606445546399</v>
      </c>
      <c r="E7" s="32" t="n">
        <f aca="false">E6/D6-1</f>
        <v>0.0599062654373519</v>
      </c>
      <c r="F7" s="32" t="n">
        <f aca="false">F6/E6-1</f>
        <v>0.0458123795647885</v>
      </c>
      <c r="G7" s="29" t="n">
        <v>0.03</v>
      </c>
      <c r="H7" s="29" t="n">
        <v>0.04</v>
      </c>
      <c r="I7" s="29" t="n">
        <v>0.05</v>
      </c>
      <c r="J7" s="29" t="n">
        <v>0.055</v>
      </c>
      <c r="K7" s="29" t="n">
        <v>0.06</v>
      </c>
    </row>
    <row r="8" customFormat="false" ht="15" hidden="false" customHeight="false" outlineLevel="0" collapsed="false">
      <c r="B8" s="35" t="s">
        <v>136</v>
      </c>
      <c r="C8" s="41" t="n">
        <v>543.77</v>
      </c>
      <c r="D8" s="41" t="n">
        <v>594.25</v>
      </c>
      <c r="E8" s="41" t="n">
        <v>622.93</v>
      </c>
      <c r="F8" s="41" t="n">
        <v>670.22</v>
      </c>
      <c r="G8" s="28" t="n">
        <f aca="false">G6*G9</f>
        <v>682.0784424</v>
      </c>
      <c r="H8" s="28" t="n">
        <f aca="false">H6*H9</f>
        <v>709.361580096</v>
      </c>
      <c r="I8" s="28" t="n">
        <f aca="false">I6*I9</f>
        <v>750.8363499</v>
      </c>
      <c r="J8" s="28" t="n">
        <f aca="false">J6*J9</f>
        <v>792.1323491445</v>
      </c>
      <c r="K8" s="28" t="n">
        <f aca="false">K6*K9</f>
        <v>839.66029009317</v>
      </c>
    </row>
    <row r="9" customFormat="false" ht="15" hidden="false" customHeight="false" outlineLevel="0" collapsed="false">
      <c r="B9" s="19" t="s">
        <v>137</v>
      </c>
      <c r="C9" s="32" t="n">
        <f aca="false">C8/C6</f>
        <v>0.241184610880962</v>
      </c>
      <c r="D9" s="32" t="n">
        <f aca="false">D8/D6</f>
        <v>0.246686288103017</v>
      </c>
      <c r="E9" s="32" t="n">
        <f aca="false">E8/E6</f>
        <v>0.243976281117325</v>
      </c>
      <c r="F9" s="32" t="n">
        <f aca="false">F8/F6</f>
        <v>0.25099898509855</v>
      </c>
      <c r="G9" s="29" t="n">
        <v>0.248</v>
      </c>
      <c r="H9" s="29" t="n">
        <v>0.248</v>
      </c>
      <c r="I9" s="29" t="n">
        <v>0.25</v>
      </c>
      <c r="J9" s="29" t="n">
        <v>0.25</v>
      </c>
      <c r="K9" s="29" t="n">
        <v>0.25</v>
      </c>
    </row>
    <row r="10" customFormat="false" ht="15" hidden="false" customHeight="false" outlineLevel="0" collapsed="false">
      <c r="B10" s="19" t="s">
        <v>138</v>
      </c>
      <c r="C10" s="28" t="n">
        <f aca="false">-C8*0.257</f>
        <v>-139.74889</v>
      </c>
      <c r="D10" s="28" t="n">
        <f aca="false">-D8*0.2564</f>
        <v>-152.3657</v>
      </c>
      <c r="E10" s="28" t="n">
        <f aca="false">-E8*0.253</f>
        <v>-157.60129</v>
      </c>
      <c r="F10" s="28" t="n">
        <f aca="false">-F8*0.246</f>
        <v>-164.87412</v>
      </c>
      <c r="G10" s="28" t="n">
        <f aca="false">-G8*Inputs!$C$25</f>
        <v>-173.930002812</v>
      </c>
      <c r="H10" s="28" t="n">
        <f aca="false">-H8*Inputs!$C$25</f>
        <v>-180.88720292448</v>
      </c>
      <c r="I10" s="28" t="n">
        <f aca="false">-I8*Inputs!$C$25</f>
        <v>-191.4632692245</v>
      </c>
      <c r="J10" s="28" t="n">
        <f aca="false">-J8*Inputs!$C$25</f>
        <v>-201.993749031847</v>
      </c>
      <c r="K10" s="28" t="n">
        <f aca="false">-K8*Inputs!$C$25</f>
        <v>-214.113373973758</v>
      </c>
    </row>
    <row r="11" customFormat="false" ht="15" hidden="false" customHeight="false" outlineLevel="0" collapsed="false">
      <c r="B11" s="35" t="s">
        <v>139</v>
      </c>
      <c r="C11" s="42" t="n">
        <f aca="false">C8+C10</f>
        <v>404.02111</v>
      </c>
      <c r="D11" s="42" t="n">
        <f aca="false">D8+D10</f>
        <v>441.8843</v>
      </c>
      <c r="E11" s="42" t="n">
        <f aca="false">E8+E10</f>
        <v>465.32871</v>
      </c>
      <c r="F11" s="42" t="n">
        <f aca="false">F8+F10</f>
        <v>505.34588</v>
      </c>
      <c r="G11" s="42" t="n">
        <f aca="false">G8+G10</f>
        <v>508.148439588</v>
      </c>
      <c r="H11" s="42" t="n">
        <f aca="false">H8+H10</f>
        <v>528.47437717152</v>
      </c>
      <c r="I11" s="42" t="n">
        <f aca="false">I8+I10</f>
        <v>559.3730806755</v>
      </c>
      <c r="J11" s="42" t="n">
        <f aca="false">J8+J10</f>
        <v>590.138600112653</v>
      </c>
      <c r="K11" s="42" t="n">
        <f aca="false">K8+K10</f>
        <v>625.546916119412</v>
      </c>
      <c r="L11" s="43"/>
    </row>
    <row r="12" customFormat="false" ht="15" hidden="false" customHeight="false" outlineLevel="0" collapsed="false">
      <c r="B12" s="19" t="s">
        <v>140</v>
      </c>
      <c r="C12" s="41" t="n">
        <v>50.22</v>
      </c>
      <c r="D12" s="41" t="n">
        <v>49.85</v>
      </c>
      <c r="E12" s="41" t="n">
        <v>52.42</v>
      </c>
      <c r="F12" s="41" t="n">
        <v>55.6</v>
      </c>
      <c r="G12" s="28" t="n">
        <f aca="false">G6*Inputs!$C$26</f>
        <v>57.7566423</v>
      </c>
      <c r="H12" s="28" t="n">
        <f aca="false">H6*Inputs!$C$26</f>
        <v>60.066907992</v>
      </c>
      <c r="I12" s="28" t="n">
        <f aca="false">I6*Inputs!$C$26</f>
        <v>63.0702533916</v>
      </c>
      <c r="J12" s="28" t="n">
        <f aca="false">J6*Inputs!$C$26</f>
        <v>66.539117328138</v>
      </c>
      <c r="K12" s="28" t="n">
        <f aca="false">K6*Inputs!$C$26</f>
        <v>70.5314643678263</v>
      </c>
    </row>
    <row r="13" customFormat="false" ht="15" hidden="false" customHeight="false" outlineLevel="0" collapsed="false">
      <c r="B13" s="19" t="s">
        <v>141</v>
      </c>
      <c r="C13" s="41" t="n">
        <v>-31</v>
      </c>
      <c r="D13" s="41" t="n">
        <v>-26.74</v>
      </c>
      <c r="E13" s="41" t="n">
        <v>-39.37</v>
      </c>
      <c r="F13" s="41" t="n">
        <v>-41.46</v>
      </c>
      <c r="G13" s="28" t="n">
        <f aca="false">-G6*Inputs!$C$27</f>
        <v>-44.0050608</v>
      </c>
      <c r="H13" s="28" t="n">
        <f aca="false">-H6*Inputs!$C$27</f>
        <v>-45.765263232</v>
      </c>
      <c r="I13" s="28" t="n">
        <f aca="false">-I6*Inputs!$C$27</f>
        <v>-48.0535263936</v>
      </c>
      <c r="J13" s="28" t="n">
        <f aca="false">-J6*Inputs!$C$27</f>
        <v>-50.696470345248</v>
      </c>
      <c r="K13" s="28" t="n">
        <f aca="false">-K6*Inputs!$C$27</f>
        <v>-53.7382585659629</v>
      </c>
    </row>
    <row r="14" customFormat="false" ht="15" hidden="false" customHeight="false" outlineLevel="0" collapsed="false">
      <c r="B14" s="19" t="s">
        <v>142</v>
      </c>
      <c r="D14" s="28" t="n">
        <f aca="false">-(D6-C6)*Inputs!$C$28</f>
        <v>-23.1525</v>
      </c>
      <c r="E14" s="28" t="n">
        <f aca="false">-(E6-D6)*Inputs!$C$28</f>
        <v>-21.6465</v>
      </c>
      <c r="F14" s="28" t="n">
        <f aca="false">-(F6-E6)*Inputs!$C$28</f>
        <v>-17.5455</v>
      </c>
      <c r="G14" s="28" t="n">
        <f aca="false">-(G6-F6)*Inputs!$C$28</f>
        <v>-12.015945</v>
      </c>
      <c r="H14" s="28" t="n">
        <f aca="false">-(H6-G6)*Inputs!$C$28</f>
        <v>-16.5018978</v>
      </c>
      <c r="I14" s="28" t="n">
        <f aca="false">-(I6-H6)*Inputs!$C$28</f>
        <v>-21.45246714</v>
      </c>
      <c r="J14" s="28" t="n">
        <f aca="false">-(J6-I6)*Inputs!$C$28</f>
        <v>-24.7775995467</v>
      </c>
      <c r="K14" s="28" t="n">
        <f aca="false">-(K6-J6)*Inputs!$C$28</f>
        <v>-28.516764569202</v>
      </c>
    </row>
    <row r="15" customFormat="false" ht="15" hidden="false" customHeight="false" outlineLevel="0" collapsed="false">
      <c r="B15" s="35" t="s">
        <v>143</v>
      </c>
      <c r="C15" s="44" t="n">
        <f aca="false">C11+C12+C13+C14</f>
        <v>423.24111</v>
      </c>
      <c r="D15" s="44" t="n">
        <f aca="false">D11+D12+D13+D14</f>
        <v>441.8418</v>
      </c>
      <c r="E15" s="44" t="n">
        <f aca="false">E11+E12+E13+E14</f>
        <v>456.73221</v>
      </c>
      <c r="F15" s="44" t="n">
        <f aca="false">F11+F12+F13+F14</f>
        <v>501.94038</v>
      </c>
      <c r="G15" s="44" t="n">
        <f aca="false">G11+G12+G13+G14</f>
        <v>509.884076088</v>
      </c>
      <c r="H15" s="44" t="n">
        <f aca="false">H11+H12+H13+H14</f>
        <v>526.27412413152</v>
      </c>
      <c r="I15" s="44" t="n">
        <f aca="false">I11+I12+I13+I14</f>
        <v>552.9373405335</v>
      </c>
      <c r="J15" s="44" t="n">
        <f aca="false">J11+J12+J13+J14</f>
        <v>581.203647548843</v>
      </c>
      <c r="K15" s="44" t="n">
        <f aca="false">K11+K12+K13+K14</f>
        <v>613.823357352073</v>
      </c>
      <c r="L15" s="45"/>
    </row>
    <row r="16" customFormat="false" ht="15" hidden="false" customHeight="false" outlineLevel="0" collapsed="false">
      <c r="B16" s="19" t="s">
        <v>144</v>
      </c>
      <c r="C16" s="41" t="n">
        <v>627.08</v>
      </c>
      <c r="D16" s="41" t="n">
        <v>677.6</v>
      </c>
      <c r="E16" s="41" t="n">
        <v>713.69</v>
      </c>
      <c r="F16" s="41" t="n">
        <v>722.74</v>
      </c>
      <c r="G16" s="28" t="n">
        <f aca="false">G8+G12</f>
        <v>739.8350847</v>
      </c>
      <c r="H16" s="28" t="n">
        <f aca="false">H8+H12</f>
        <v>769.428488088</v>
      </c>
      <c r="I16" s="28" t="n">
        <f aca="false">I8+I12</f>
        <v>813.9066032916</v>
      </c>
      <c r="J16" s="28" t="n">
        <f aca="false">J8+J12</f>
        <v>858.671466472638</v>
      </c>
      <c r="K16" s="28" t="n">
        <f aca="false">K8+K12</f>
        <v>910.191754460996</v>
      </c>
    </row>
    <row r="18" customFormat="false" ht="15.75" hidden="false" customHeight="true" outlineLevel="0" collapsed="false">
      <c r="B18" s="23" t="s">
        <v>145</v>
      </c>
      <c r="C18" s="1"/>
      <c r="D18" s="1"/>
      <c r="E18" s="1"/>
      <c r="F18" s="1"/>
      <c r="G18" s="1"/>
      <c r="H18" s="1"/>
      <c r="I18" s="1"/>
      <c r="J18" s="1"/>
      <c r="K18" s="1"/>
      <c r="L18" s="1"/>
    </row>
    <row r="19" customFormat="false" ht="15" hidden="false" customHeight="false" outlineLevel="0" collapsed="false">
      <c r="B19" s="19" t="s">
        <v>146</v>
      </c>
      <c r="G19" s="46" t="n">
        <f aca="false">1-Inputs!$C$31*0.5</f>
        <v>0.5</v>
      </c>
      <c r="H19" s="46" t="n">
        <f aca="false">2-Inputs!$C$31*0.5</f>
        <v>1.5</v>
      </c>
      <c r="I19" s="46" t="n">
        <f aca="false">3-Inputs!$C$31*0.5</f>
        <v>2.5</v>
      </c>
      <c r="J19" s="46" t="n">
        <f aca="false">4-Inputs!$C$31*0.5</f>
        <v>3.5</v>
      </c>
      <c r="K19" s="46" t="n">
        <f aca="false">5-Inputs!$C$31*0.5</f>
        <v>4.5</v>
      </c>
    </row>
    <row r="20" customFormat="false" ht="15" hidden="false" customHeight="false" outlineLevel="0" collapsed="false">
      <c r="B20" s="19" t="s">
        <v>147</v>
      </c>
      <c r="G20" s="31" t="n">
        <f aca="false">1/(1+Inputs!$C$22)^G19</f>
        <v>0.939464144734867</v>
      </c>
      <c r="H20" s="31" t="n">
        <f aca="false">1/(1+Inputs!$C$22)^H19</f>
        <v>0.82916436444656</v>
      </c>
      <c r="I20" s="31" t="n">
        <f aca="false">1/(1+Inputs!$C$22)^I19</f>
        <v>0.731814563782097</v>
      </c>
      <c r="J20" s="31" t="n">
        <f aca="false">1/(1+Inputs!$C$22)^J19</f>
        <v>0.645894322919973</v>
      </c>
      <c r="K20" s="31" t="n">
        <f aca="false">1/(1+Inputs!$C$22)^K19</f>
        <v>0.57006173015227</v>
      </c>
    </row>
    <row r="21" customFormat="false" ht="15" hidden="false" customHeight="false" outlineLevel="0" collapsed="false">
      <c r="B21" s="19" t="s">
        <v>148</v>
      </c>
      <c r="G21" s="28" t="n">
        <f aca="false">G15*G20</f>
        <v>479.017807455941</v>
      </c>
      <c r="H21" s="28" t="n">
        <f aca="false">H15*H20</f>
        <v>436.367749660182</v>
      </c>
      <c r="I21" s="28" t="n">
        <f aca="false">I15*I20</f>
        <v>404.647598661356</v>
      </c>
      <c r="J21" s="28" t="n">
        <f aca="false">J15*J20</f>
        <v>375.396136412178</v>
      </c>
      <c r="K21" s="28" t="n">
        <f aca="false">K15*K20</f>
        <v>349.917205099998</v>
      </c>
    </row>
    <row r="23" customFormat="false" ht="15.75" hidden="false" customHeight="true" outlineLevel="0" collapsed="false">
      <c r="B23" s="23" t="s">
        <v>149</v>
      </c>
      <c r="C23" s="1"/>
      <c r="D23" s="1"/>
      <c r="E23" s="1"/>
      <c r="F23" s="1"/>
      <c r="G23" s="1"/>
      <c r="H23" s="1"/>
      <c r="I23" s="1"/>
      <c r="J23" s="1"/>
      <c r="K23" s="1"/>
      <c r="L23" s="1"/>
    </row>
    <row r="24" customFormat="false" ht="15" hidden="false" customHeight="false" outlineLevel="0" collapsed="false">
      <c r="B24" s="35" t="s">
        <v>150</v>
      </c>
      <c r="K24" s="28" t="n">
        <f aca="false">K15*(1+Inputs!$C$29)/(Inputs!$C$22-Inputs!$C$29)</f>
        <v>8299.66976074838</v>
      </c>
    </row>
    <row r="25" customFormat="false" ht="15" hidden="false" customHeight="false" outlineLevel="0" collapsed="false">
      <c r="B25" s="19" t="s">
        <v>151</v>
      </c>
      <c r="K25" s="28" t="n">
        <f aca="false">K24*K20</f>
        <v>4731.32410350469</v>
      </c>
    </row>
    <row r="26" customFormat="false" ht="15" hidden="false" customHeight="false" outlineLevel="0" collapsed="false">
      <c r="B26" s="19" t="s">
        <v>152</v>
      </c>
      <c r="K26" s="28" t="n">
        <f aca="false">K16*Inputs!$C$30</f>
        <v>10012.109299071</v>
      </c>
    </row>
    <row r="27" customFormat="false" ht="15" hidden="false" customHeight="false" outlineLevel="0" collapsed="false">
      <c r="B27" s="19" t="s">
        <v>153</v>
      </c>
      <c r="K27" s="28" t="n">
        <f aca="false">K26*K20</f>
        <v>5707.52034950202</v>
      </c>
    </row>
    <row r="28" customFormat="false" ht="15" hidden="false" customHeight="false" outlineLevel="0" collapsed="false">
      <c r="B28" s="19" t="s">
        <v>154</v>
      </c>
      <c r="K28" s="32" t="n">
        <f aca="false">(Inputs!$C$22*K26-K15)/(K26+K15)</f>
        <v>0.0675742834214132</v>
      </c>
      <c r="L28" s="5" t="s">
        <v>155</v>
      </c>
    </row>
    <row r="29" customFormat="false" ht="15" hidden="false" customHeight="false" outlineLevel="0" collapsed="false">
      <c r="B29" s="19" t="s">
        <v>156</v>
      </c>
      <c r="K29" s="47" t="n">
        <f aca="false">K24/K16</f>
        <v>9.1185947577204</v>
      </c>
    </row>
    <row r="31" customFormat="false" ht="15.75" hidden="false" customHeight="true" outlineLevel="0" collapsed="false">
      <c r="B31" s="23" t="s">
        <v>157</v>
      </c>
      <c r="C31" s="1"/>
      <c r="D31" s="1"/>
      <c r="E31" s="1"/>
      <c r="F31" s="1"/>
      <c r="G31" s="1"/>
      <c r="H31" s="1"/>
      <c r="I31" s="1"/>
      <c r="J31" s="1"/>
      <c r="K31" s="1"/>
      <c r="L31" s="1"/>
    </row>
    <row r="32" customFormat="false" ht="15" hidden="false" customHeight="false" outlineLevel="0" collapsed="false">
      <c r="B32" s="19" t="s">
        <v>158</v>
      </c>
      <c r="K32" s="28" t="n">
        <f aca="false">SUM(G21:K21)</f>
        <v>2045.34649728965</v>
      </c>
    </row>
    <row r="33" customFormat="false" ht="15" hidden="false" customHeight="false" outlineLevel="0" collapsed="false">
      <c r="B33" s="19" t="s">
        <v>159</v>
      </c>
      <c r="K33" s="28" t="n">
        <f aca="false">K25</f>
        <v>4731.32410350469</v>
      </c>
    </row>
    <row r="34" customFormat="false" ht="15" hidden="false" customHeight="false" outlineLevel="0" collapsed="false">
      <c r="B34" s="35" t="s">
        <v>160</v>
      </c>
      <c r="K34" s="28" t="n">
        <f aca="false">K32+K33</f>
        <v>6776.67060079435</v>
      </c>
    </row>
    <row r="35" customFormat="false" ht="15" hidden="false" customHeight="false" outlineLevel="0" collapsed="false">
      <c r="B35" s="19" t="s">
        <v>161</v>
      </c>
      <c r="K35" s="32" t="n">
        <f aca="false">K33/K34</f>
        <v>0.698178262191185</v>
      </c>
      <c r="L35" s="5" t="s">
        <v>162</v>
      </c>
    </row>
    <row r="36" customFormat="false" ht="15" hidden="false" customHeight="false" outlineLevel="0" collapsed="false">
      <c r="B36" s="19" t="s">
        <v>163</v>
      </c>
      <c r="K36" s="28" t="n">
        <f aca="false">Inputs!$C$11</f>
        <v>288.5249567736</v>
      </c>
    </row>
    <row r="37" customFormat="false" ht="15" hidden="false" customHeight="false" outlineLevel="0" collapsed="false">
      <c r="B37" s="35" t="s">
        <v>164</v>
      </c>
      <c r="K37" s="28" t="n">
        <f aca="false">K34+K36</f>
        <v>7065.19555756795</v>
      </c>
    </row>
    <row r="38" customFormat="false" ht="15" hidden="false" customHeight="false" outlineLevel="0" collapsed="false">
      <c r="B38" s="19" t="s">
        <v>48</v>
      </c>
      <c r="K38" s="48" t="n">
        <f aca="false">Inputs!$C$8</f>
        <v>3618.087518</v>
      </c>
    </row>
    <row r="39" customFormat="false" ht="15" hidden="false" customHeight="false" outlineLevel="0" collapsed="false">
      <c r="B39" s="35" t="s">
        <v>165</v>
      </c>
      <c r="K39" s="49" t="n">
        <f aca="false">K37*1000/K38</f>
        <v>1952.74313360818</v>
      </c>
    </row>
    <row r="40" customFormat="false" ht="15" hidden="false" customHeight="false" outlineLevel="0" collapsed="false">
      <c r="B40" s="19" t="s">
        <v>20</v>
      </c>
      <c r="K40" s="50" t="n">
        <f aca="false">Inputs!$C$5</f>
        <v>2200.8</v>
      </c>
    </row>
    <row r="41" customFormat="false" ht="15" hidden="false" customHeight="false" outlineLevel="0" collapsed="false">
      <c r="B41" s="19" t="s">
        <v>166</v>
      </c>
      <c r="K41" s="32" t="n">
        <f aca="false">K40/K39-1</f>
        <v>0.127029951928945</v>
      </c>
      <c r="L41" s="5" t="s">
        <v>167</v>
      </c>
    </row>
    <row r="43" customFormat="false" ht="15.75" hidden="false" customHeight="true" outlineLevel="0" collapsed="false">
      <c r="B43" s="23" t="s">
        <v>168</v>
      </c>
      <c r="C43" s="1"/>
      <c r="D43" s="1"/>
      <c r="E43" s="1"/>
      <c r="F43" s="1"/>
      <c r="G43" s="1"/>
      <c r="H43" s="1"/>
      <c r="I43" s="1"/>
      <c r="J43" s="1"/>
      <c r="K43" s="1"/>
      <c r="L43" s="1"/>
    </row>
    <row r="44" customFormat="false" ht="15" hidden="false" customHeight="false" outlineLevel="0" collapsed="false">
      <c r="B44" s="35" t="s">
        <v>169</v>
      </c>
      <c r="C44" s="51" t="n">
        <f aca="false">Inputs!$C$22+-0.01</f>
        <v>0.12302523</v>
      </c>
      <c r="D44" s="51" t="n">
        <f aca="false">Inputs!$C$22+-0.005</f>
        <v>0.12802523</v>
      </c>
      <c r="E44" s="51" t="n">
        <f aca="false">Inputs!$C$22+0</f>
        <v>0.13302523</v>
      </c>
      <c r="F44" s="51" t="n">
        <f aca="false">Inputs!$C$22+0.005</f>
        <v>0.13802523</v>
      </c>
      <c r="G44" s="51" t="n">
        <f aca="false">Inputs!$C$22+0.01</f>
        <v>0.14302523</v>
      </c>
    </row>
    <row r="45" customFormat="false" ht="15" hidden="false" customHeight="false" outlineLevel="0" collapsed="false">
      <c r="B45" s="52" t="n">
        <f aca="false">Inputs!$C$29+-0.01</f>
        <v>0.045</v>
      </c>
      <c r="C45" s="48" t="n">
        <f aca="false">(SUMPRODUCT($G$15:$K$15,1/(1+C$44)^$G$19:$K$19)+$K$15*(1+$B45)/(C$44-$B45)*1/(1+C$44)^$K$19+Inputs!$C$11)*1000/Inputs!$C$8</f>
        <v>2004.98054575048</v>
      </c>
      <c r="D45" s="48" t="n">
        <f aca="false">(SUMPRODUCT($G$15:$K$15,1/(1+D$44)^$G$19:$K$19)+$K$15*(1+$B45)/(D$44-$B45)*1/(1+D$44)^$K$19+Inputs!$C$11)*1000/Inputs!$C$8</f>
        <v>1892.71358728613</v>
      </c>
      <c r="E45" s="48" t="n">
        <f aca="false">(SUMPRODUCT($G$15:$K$15,1/(1+E$44)^$G$19:$K$19)+$K$15*(1+$B45)/(E$44-$B45)*1/(1+E$44)^$K$19+Inputs!$C$11)*1000/Inputs!$C$8</f>
        <v>1793.19799201344</v>
      </c>
      <c r="F45" s="48" t="n">
        <f aca="false">(SUMPRODUCT($G$15:$K$15,1/(1+F$44)^$G$19:$K$19)+$K$15*(1+$B45)/(F$44-$B45)*1/(1+F$44)^$K$19+Inputs!$C$11)*1000/Inputs!$C$8</f>
        <v>1704.37757419468</v>
      </c>
      <c r="G45" s="48" t="n">
        <f aca="false">(SUMPRODUCT($G$15:$K$15,1/(1+G$44)^$G$19:$K$19)+$K$15*(1+$B45)/(G$44-$B45)*1/(1+G$44)^$K$19+Inputs!$C$11)*1000/Inputs!$C$8</f>
        <v>1624.61567248631</v>
      </c>
    </row>
    <row r="46" customFormat="false" ht="15" hidden="false" customHeight="false" outlineLevel="0" collapsed="false">
      <c r="B46" s="52" t="n">
        <f aca="false">Inputs!$C$29+-0.005</f>
        <v>0.05</v>
      </c>
      <c r="C46" s="48" t="n">
        <f aca="false">(SUMPRODUCT($G$15:$K$15,1/(1+C$44)^$G$19:$K$19)+$K$15*(1+$B46)/(C$44-$B46)*1/(1+C$44)^$K$19+Inputs!$C$11)*1000/Inputs!$C$8</f>
        <v>2104.1694423995</v>
      </c>
      <c r="D46" s="48" t="n">
        <f aca="false">(SUMPRODUCT($G$15:$K$15,1/(1+D$44)^$G$19:$K$19)+$K$15*(1+$B46)/(D$44-$B46)*1/(1+D$44)^$K$19+Inputs!$C$11)*1000/Inputs!$C$8</f>
        <v>1978.60966933783</v>
      </c>
      <c r="E46" s="48" t="n">
        <f aca="false">(SUMPRODUCT($G$15:$K$15,1/(1+E$44)^$G$19:$K$19)+$K$15*(1+$B46)/(E$44-$B46)*1/(1+E$44)^$K$19+Inputs!$C$11)*1000/Inputs!$C$8</f>
        <v>1868.16644659232</v>
      </c>
      <c r="F46" s="48" t="n">
        <f aca="false">(SUMPRODUCT($G$15:$K$15,1/(1+F$44)^$G$19:$K$19)+$K$15*(1+$B46)/(F$44-$B46)*1/(1+F$44)^$K$19+Inputs!$C$11)*1000/Inputs!$C$8</f>
        <v>1770.2638271349</v>
      </c>
      <c r="G46" s="48" t="n">
        <f aca="false">(SUMPRODUCT($G$15:$K$15,1/(1+G$44)^$G$19:$K$19)+$K$15*(1+$B46)/(G$44-$B46)*1/(1+G$44)^$K$19+Inputs!$C$11)*1000/Inputs!$C$8</f>
        <v>1682.87968174742</v>
      </c>
    </row>
    <row r="47" customFormat="false" ht="15" hidden="false" customHeight="false" outlineLevel="0" collapsed="false">
      <c r="B47" s="52" t="n">
        <f aca="false">Inputs!$C$29+0</f>
        <v>0.055</v>
      </c>
      <c r="C47" s="48" t="n">
        <f aca="false">(SUMPRODUCT($G$15:$K$15,1/(1+C$44)^$G$19:$K$19)+$K$15*(1+$B47)/(C$44-$B47)*1/(1+C$44)^$K$19+Inputs!$C$11)*1000/Inputs!$C$8</f>
        <v>2217.93953144567</v>
      </c>
      <c r="D47" s="48" t="n">
        <f aca="false">(SUMPRODUCT($G$15:$K$15,1/(1+D$44)^$G$19:$K$19)+$K$15*(1+$B47)/(D$44-$B47)*1/(1+D$44)^$K$19+Inputs!$C$11)*1000/Inputs!$C$8</f>
        <v>2076.26827265125</v>
      </c>
      <c r="E47" s="53" t="n">
        <f aca="false">(SUMPRODUCT($G$15:$K$15,1/(1+E$44)^$G$19:$K$19)+$K$15*(1+$B47)/(E$44-$B47)*1/(1+E$44)^$K$19+Inputs!$C$11)*1000/Inputs!$C$8</f>
        <v>1952.74313360818</v>
      </c>
      <c r="F47" s="48" t="n">
        <f aca="false">(SUMPRODUCT($G$15:$K$15,1/(1+F$44)^$G$19:$K$19)+$K$15*(1+$B47)/(F$44-$B47)*1/(1+F$44)^$K$19+Inputs!$C$11)*1000/Inputs!$C$8</f>
        <v>1844.08577058031</v>
      </c>
      <c r="G47" s="48" t="n">
        <f aca="false">(SUMPRODUCT($G$15:$K$15,1/(1+G$44)^$G$19:$K$19)+$K$15*(1+$B47)/(G$44-$B47)*1/(1+G$44)^$K$19+Inputs!$C$11)*1000/Inputs!$C$8</f>
        <v>1747.76270345089</v>
      </c>
    </row>
    <row r="48" customFormat="false" ht="15" hidden="false" customHeight="false" outlineLevel="0" collapsed="false">
      <c r="B48" s="52" t="n">
        <f aca="false">Inputs!$C$29+0.005</f>
        <v>0.06</v>
      </c>
      <c r="C48" s="48" t="n">
        <f aca="false">(SUMPRODUCT($G$15:$K$15,1/(1+C$44)^$G$19:$K$19)+$K$15*(1+$B48)/(C$44-$B48)*1/(1+C$44)^$K$19+Inputs!$C$11)*1000/Inputs!$C$8</f>
        <v>2349.76113558289</v>
      </c>
      <c r="D48" s="48" t="n">
        <f aca="false">(SUMPRODUCT($G$15:$K$15,1/(1+D$44)^$G$19:$K$19)+$K$15*(1+$B48)/(D$44-$B48)*1/(1+D$44)^$K$19+Inputs!$C$11)*1000/Inputs!$C$8</f>
        <v>2188.28310869088</v>
      </c>
      <c r="E48" s="48" t="n">
        <f aca="false">(SUMPRODUCT($G$15:$K$15,1/(1+E$44)^$G$19:$K$19)+$K$15*(1+$B48)/(E$44-$B48)*1/(1+E$44)^$K$19+Inputs!$C$11)*1000/Inputs!$C$8</f>
        <v>2048.90166528455</v>
      </c>
      <c r="F48" s="48" t="n">
        <f aca="false">(SUMPRODUCT($G$15:$K$15,1/(1+F$44)^$G$19:$K$19)+$K$15*(1+$B48)/(F$44-$B48)*1/(1+F$44)^$K$19+Inputs!$C$11)*1000/Inputs!$C$8</f>
        <v>1927.36900538564</v>
      </c>
      <c r="G48" s="48" t="n">
        <f aca="false">(SUMPRODUCT($G$15:$K$15,1/(1+G$44)^$G$19:$K$19)+$K$15*(1+$B48)/(G$44-$B48)*1/(1+G$44)^$K$19+Inputs!$C$11)*1000/Inputs!$C$8</f>
        <v>1820.46058115698</v>
      </c>
    </row>
    <row r="49" customFormat="false" ht="15" hidden="false" customHeight="false" outlineLevel="0" collapsed="false">
      <c r="B49" s="52" t="n">
        <f aca="false">Inputs!$C$29+0.01</f>
        <v>0.065</v>
      </c>
      <c r="C49" s="48" t="n">
        <f aca="false">(SUMPRODUCT($G$15:$K$15,1/(1+C$44)^$G$19:$K$19)+$K$15*(1+$B49)/(C$44-$B49)*1/(1+C$44)^$K$19+Inputs!$C$11)*1000/Inputs!$C$8</f>
        <v>2504.30072018089</v>
      </c>
      <c r="D49" s="48" t="n">
        <f aca="false">(SUMPRODUCT($G$15:$K$15,1/(1+D$44)^$G$19:$K$19)+$K$15*(1+$B49)/(D$44-$B49)*1/(1+D$44)^$K$19+Inputs!$C$11)*1000/Inputs!$C$8</f>
        <v>2318.07095976586</v>
      </c>
      <c r="E49" s="48" t="n">
        <f aca="false">(SUMPRODUCT($G$15:$K$15,1/(1+E$44)^$G$19:$K$19)+$K$15*(1+$B49)/(E$44-$B49)*1/(1+E$44)^$K$19+Inputs!$C$11)*1000/Inputs!$C$8</f>
        <v>2159.19591273526</v>
      </c>
      <c r="F49" s="48" t="n">
        <f aca="false">(SUMPRODUCT($G$15:$K$15,1/(1+F$44)^$G$19:$K$19)+$K$15*(1+$B49)/(F$44-$B49)*1/(1+F$44)^$K$19+Inputs!$C$11)*1000/Inputs!$C$8</f>
        <v>2022.05696083413</v>
      </c>
      <c r="G49" s="48" t="n">
        <f aca="false">(SUMPRODUCT($G$15:$K$15,1/(1+G$44)^$G$19:$K$19)+$K$15*(1+$B49)/(G$44-$B49)*1/(1+G$44)^$K$19+Inputs!$C$11)*1000/Inputs!$C$8</f>
        <v>1902.47568583006</v>
      </c>
    </row>
    <row r="51" customFormat="false" ht="39.75" hidden="false" customHeight="true" outlineLevel="0" collapsed="false">
      <c r="B51" s="18" t="s">
        <v>170</v>
      </c>
      <c r="C51" s="18"/>
      <c r="D51" s="18"/>
      <c r="E51" s="18"/>
      <c r="F51" s="18"/>
      <c r="G51" s="18"/>
      <c r="H51" s="18"/>
      <c r="I51" s="18"/>
      <c r="J51" s="18"/>
      <c r="K51" s="18"/>
      <c r="L51" s="18"/>
    </row>
  </sheetData>
  <mergeCells count="1">
    <mergeCell ref="B51:L51"/>
  </mergeCells>
  <printOptions headings="false" gridLines="false" gridLinesSet="true" horizontalCentered="true" verticalCentered="false"/>
  <pageMargins left="0.4" right="0.4" top="0.5" bottom="0.55" header="0.5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>&amp;L&amp;"Arial,Bold"&amp;8Tata Consultancy Services — Football Field and Valuation Summary&amp;R&amp;"Arial,Regular"&amp;8DCF</oddHeader>
    <oddFooter>&amp;L&amp;"Arial,Regular"&amp;8Jainam Mehta · github.com/jainammehta1215/ib-portfolio&amp;C&amp;"Arial,Regular"&amp;8Blue = input · Black = formula · Green = link&amp;R&amp;"Arial,Regular"&amp;8Page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.5"/>
    <col collapsed="false" customWidth="true" hidden="false" outlineLevel="0" max="2" min="2" style="0" width="40"/>
    <col collapsed="false" customWidth="true" hidden="false" outlineLevel="0" max="8" min="3" style="0" width="13"/>
    <col collapsed="false" customWidth="true" hidden="false" outlineLevel="0" max="9" min="9" style="0" width="54"/>
  </cols>
  <sheetData>
    <row r="1" customFormat="false" ht="30" hidden="false" customHeight="true" outlineLevel="0" collapsed="false">
      <c r="A1" s="1"/>
      <c r="B1" s="20" t="s">
        <v>39</v>
      </c>
      <c r="C1" s="1"/>
      <c r="D1" s="1"/>
      <c r="E1" s="1"/>
      <c r="F1" s="1"/>
      <c r="G1" s="1"/>
      <c r="H1" s="1"/>
      <c r="I1" s="21" t="s">
        <v>40</v>
      </c>
    </row>
    <row r="2" customFormat="false" ht="18" hidden="false" customHeight="true" outlineLevel="0" collapsed="false">
      <c r="A2" s="1"/>
      <c r="B2" s="22" t="s">
        <v>171</v>
      </c>
      <c r="C2" s="1"/>
      <c r="D2" s="1"/>
      <c r="E2" s="1"/>
      <c r="F2" s="1"/>
      <c r="G2" s="1"/>
      <c r="H2" s="1"/>
      <c r="I2" s="1"/>
    </row>
    <row r="4" customFormat="false" ht="18" hidden="false" customHeight="true" outlineLevel="0" collapsed="false">
      <c r="B4" s="35" t="s">
        <v>172</v>
      </c>
      <c r="C4" s="36" t="s">
        <v>173</v>
      </c>
      <c r="D4" s="36" t="s">
        <v>174</v>
      </c>
      <c r="E4" s="36" t="s">
        <v>175</v>
      </c>
      <c r="F4" s="36" t="s">
        <v>176</v>
      </c>
      <c r="G4" s="36" t="s">
        <v>177</v>
      </c>
      <c r="H4" s="36" t="s">
        <v>178</v>
      </c>
    </row>
    <row r="5" customFormat="false" ht="30" hidden="false" customHeight="true" outlineLevel="0" collapsed="false">
      <c r="B5" s="35" t="s">
        <v>179</v>
      </c>
      <c r="C5" s="54" t="n">
        <f aca="false">Inputs!$C$7</f>
        <v>1976.8</v>
      </c>
      <c r="D5" s="54" t="n">
        <f aca="false">Inputs!$C$6</f>
        <v>3350</v>
      </c>
      <c r="E5" s="48" t="n">
        <f aca="false">AVERAGE(C5:D5)</f>
        <v>2663.4</v>
      </c>
      <c r="F5" s="48" t="n">
        <f aca="false">D5-C5</f>
        <v>1373.2</v>
      </c>
      <c r="G5" s="55" t="n">
        <v>0</v>
      </c>
      <c r="H5" s="19" t="s">
        <v>180</v>
      </c>
      <c r="I5" s="25" t="s">
        <v>181</v>
      </c>
    </row>
    <row r="6" customFormat="false" ht="30" hidden="false" customHeight="true" outlineLevel="0" collapsed="false">
      <c r="B6" s="35" t="s">
        <v>182</v>
      </c>
      <c r="C6" s="54" t="n">
        <f aca="false">Inputs!$C$34</f>
        <v>1775</v>
      </c>
      <c r="D6" s="54" t="n">
        <f aca="false">Inputs!$C$36</f>
        <v>3900</v>
      </c>
      <c r="E6" s="48" t="n">
        <f aca="false">AVERAGE(C6:D6)</f>
        <v>2837.5</v>
      </c>
      <c r="F6" s="48" t="n">
        <f aca="false">D6-C6</f>
        <v>2125</v>
      </c>
      <c r="G6" s="55" t="n">
        <v>0.1</v>
      </c>
      <c r="H6" s="19" t="s">
        <v>183</v>
      </c>
      <c r="I6" s="25" t="s">
        <v>184</v>
      </c>
    </row>
    <row r="7" customFormat="false" ht="30" hidden="false" customHeight="true" outlineLevel="0" collapsed="false">
      <c r="B7" s="35" t="s">
        <v>185</v>
      </c>
      <c r="C7" s="54" t="n">
        <f aca="false">MIN(DCF!C45:G49)</f>
        <v>1624.61567248631</v>
      </c>
      <c r="D7" s="54" t="n">
        <f aca="false">MAX(DCF!C45:G49)</f>
        <v>2504.30072018089</v>
      </c>
      <c r="E7" s="48" t="n">
        <f aca="false">AVERAGE(C7:D7)</f>
        <v>2064.4581963336</v>
      </c>
      <c r="F7" s="48" t="n">
        <f aca="false">D7-C7</f>
        <v>879.685047694581</v>
      </c>
      <c r="G7" s="55" t="n">
        <v>0.35</v>
      </c>
      <c r="H7" s="19" t="s">
        <v>186</v>
      </c>
      <c r="I7" s="25" t="s">
        <v>187</v>
      </c>
    </row>
    <row r="8" customFormat="false" ht="30" hidden="false" customHeight="true" outlineLevel="0" collapsed="false">
      <c r="B8" s="35" t="s">
        <v>188</v>
      </c>
      <c r="C8" s="26" t="n">
        <v>1242.05</v>
      </c>
      <c r="D8" s="26" t="n">
        <v>1745.32</v>
      </c>
      <c r="E8" s="48" t="n">
        <f aca="false">AVERAGE(C8:D8)</f>
        <v>1493.685</v>
      </c>
      <c r="F8" s="48" t="n">
        <f aca="false">D8-C8</f>
        <v>503.27</v>
      </c>
      <c r="G8" s="55" t="n">
        <v>0.15</v>
      </c>
      <c r="H8" s="19" t="s">
        <v>49</v>
      </c>
      <c r="I8" s="25" t="s">
        <v>189</v>
      </c>
    </row>
    <row r="9" customFormat="false" ht="30" hidden="false" customHeight="true" outlineLevel="0" collapsed="false">
      <c r="B9" s="35" t="s">
        <v>190</v>
      </c>
      <c r="C9" s="26" t="n">
        <v>1652.2</v>
      </c>
      <c r="D9" s="26" t="n">
        <v>2478.49</v>
      </c>
      <c r="E9" s="48" t="n">
        <f aca="false">AVERAGE(C9:D9)</f>
        <v>2065.345</v>
      </c>
      <c r="F9" s="48" t="n">
        <f aca="false">D9-C9</f>
        <v>826.29</v>
      </c>
      <c r="G9" s="55" t="n">
        <v>0.15</v>
      </c>
      <c r="H9" s="19" t="s">
        <v>49</v>
      </c>
      <c r="I9" s="25" t="s">
        <v>191</v>
      </c>
    </row>
    <row r="10" customFormat="false" ht="30" hidden="false" customHeight="true" outlineLevel="0" collapsed="false">
      <c r="B10" s="35" t="s">
        <v>192</v>
      </c>
      <c r="C10" s="26" t="n">
        <v>1874.11</v>
      </c>
      <c r="D10" s="26" t="n">
        <v>2688.94</v>
      </c>
      <c r="E10" s="48" t="n">
        <f aca="false">AVERAGE(C10:D10)</f>
        <v>2281.525</v>
      </c>
      <c r="F10" s="48" t="n">
        <f aca="false">D10-C10</f>
        <v>814.83</v>
      </c>
      <c r="G10" s="55" t="n">
        <v>0.15</v>
      </c>
      <c r="H10" s="19" t="s">
        <v>49</v>
      </c>
      <c r="I10" s="25" t="s">
        <v>193</v>
      </c>
    </row>
    <row r="11" customFormat="false" ht="30" hidden="false" customHeight="true" outlineLevel="0" collapsed="false">
      <c r="B11" s="35" t="s">
        <v>194</v>
      </c>
      <c r="C11" s="26" t="n">
        <v>1428.41</v>
      </c>
      <c r="D11" s="26" t="n">
        <v>2682.41</v>
      </c>
      <c r="E11" s="48" t="n">
        <f aca="false">AVERAGE(C11:D11)</f>
        <v>2055.41</v>
      </c>
      <c r="F11" s="48" t="n">
        <f aca="false">D11-C11</f>
        <v>1254</v>
      </c>
      <c r="G11" s="55" t="n">
        <v>0.05</v>
      </c>
      <c r="H11" s="19" t="s">
        <v>195</v>
      </c>
      <c r="I11" s="25" t="s">
        <v>196</v>
      </c>
    </row>
    <row r="12" customFormat="false" ht="30" hidden="false" customHeight="true" outlineLevel="0" collapsed="false">
      <c r="B12" s="35" t="s">
        <v>197</v>
      </c>
      <c r="C12" s="26" t="n">
        <v>2862.26</v>
      </c>
      <c r="D12" s="26" t="n">
        <v>3532.32</v>
      </c>
      <c r="E12" s="48" t="n">
        <f aca="false">AVERAGE(C12:D12)</f>
        <v>3197.29</v>
      </c>
      <c r="F12" s="48" t="n">
        <f aca="false">D12-C12</f>
        <v>670.06</v>
      </c>
      <c r="G12" s="55" t="n">
        <v>0.05</v>
      </c>
      <c r="H12" s="19" t="s">
        <v>195</v>
      </c>
      <c r="I12" s="25" t="s">
        <v>198</v>
      </c>
    </row>
    <row r="13" customFormat="false" ht="15" hidden="false" customHeight="false" outlineLevel="0" collapsed="false">
      <c r="B13" s="35" t="s">
        <v>199</v>
      </c>
      <c r="G13" s="56" t="n">
        <f aca="false">SUM(G5:G12)</f>
        <v>1</v>
      </c>
    </row>
    <row r="15" customFormat="false" ht="15.75" hidden="false" customHeight="true" outlineLevel="0" collapsed="false">
      <c r="B15" s="23" t="s">
        <v>200</v>
      </c>
      <c r="C15" s="1"/>
      <c r="D15" s="1"/>
      <c r="E15" s="1"/>
      <c r="F15" s="1"/>
      <c r="G15" s="1"/>
      <c r="H15" s="1"/>
      <c r="I15" s="1"/>
    </row>
    <row r="16" customFormat="false" ht="31.5" hidden="false" customHeight="true" outlineLevel="0" collapsed="false">
      <c r="B16" s="35" t="s">
        <v>201</v>
      </c>
      <c r="C16" s="57" t="n">
        <f aca="false">SUMPRODUCT($C$5:$C$12,$G$5:$G$12)/$G$13</f>
        <v>1675.90298537021</v>
      </c>
      <c r="D16" s="57" t="n">
        <f aca="false">SUMPRODUCT($D$5:$D$12,$G$5:$G$12)/$G$13</f>
        <v>2614.15425206331</v>
      </c>
      <c r="E16" s="57" t="n">
        <f aca="false">SUMPRODUCT($E$5:$E$12,$G$5:$G$12)/$G$13</f>
        <v>2145.02861871676</v>
      </c>
      <c r="I16" s="25" t="s">
        <v>202</v>
      </c>
    </row>
    <row r="18" customFormat="false" ht="15.75" hidden="false" customHeight="true" outlineLevel="0" collapsed="false">
      <c r="B18" s="23" t="s">
        <v>203</v>
      </c>
      <c r="C18" s="1"/>
      <c r="D18" s="1"/>
      <c r="E18" s="1"/>
      <c r="F18" s="1"/>
      <c r="G18" s="1"/>
      <c r="H18" s="1"/>
      <c r="I18" s="1"/>
    </row>
    <row r="19" customFormat="false" ht="15" hidden="false" customHeight="false" outlineLevel="0" collapsed="false">
      <c r="B19" s="19" t="s">
        <v>20</v>
      </c>
      <c r="C19" s="50" t="n">
        <f aca="false">Inputs!$C$5</f>
        <v>2200.8</v>
      </c>
    </row>
    <row r="20" customFormat="false" ht="15" hidden="false" customHeight="false" outlineLevel="0" collapsed="false">
      <c r="B20" s="19" t="s">
        <v>204</v>
      </c>
      <c r="C20" s="48" t="n">
        <f aca="false">MIN(C5:C12)</f>
        <v>1242.05</v>
      </c>
    </row>
    <row r="21" customFormat="false" ht="15" hidden="false" customHeight="false" outlineLevel="0" collapsed="false">
      <c r="B21" s="19" t="s">
        <v>205</v>
      </c>
      <c r="C21" s="48" t="n">
        <f aca="false">MAX(D5:D12)</f>
        <v>3900</v>
      </c>
    </row>
    <row r="22" customFormat="false" ht="15" hidden="false" customHeight="false" outlineLevel="0" collapsed="false">
      <c r="B22" s="35" t="s">
        <v>206</v>
      </c>
      <c r="C22" s="48" t="n">
        <f aca="false">MEDIAN(E5:E12)</f>
        <v>2173.435</v>
      </c>
    </row>
    <row r="23" customFormat="false" ht="15" hidden="false" customHeight="false" outlineLevel="0" collapsed="false">
      <c r="B23" s="35" t="s">
        <v>207</v>
      </c>
      <c r="C23" s="48" t="n">
        <f aca="false">E16</f>
        <v>2145.02861871676</v>
      </c>
    </row>
    <row r="24" customFormat="false" ht="15" hidden="false" customHeight="false" outlineLevel="0" collapsed="false">
      <c r="B24" s="19" t="s">
        <v>208</v>
      </c>
      <c r="C24" s="32" t="n">
        <f aca="false">C19/C23-1</f>
        <v>0.0260002970573905</v>
      </c>
    </row>
    <row r="26" customFormat="false" ht="45" hidden="false" customHeight="true" outlineLevel="0" collapsed="false">
      <c r="B26" s="18" t="s">
        <v>209</v>
      </c>
      <c r="C26" s="18"/>
      <c r="D26" s="18"/>
      <c r="E26" s="18"/>
      <c r="F26" s="18"/>
      <c r="G26" s="18"/>
      <c r="H26" s="18"/>
      <c r="I26" s="18"/>
    </row>
    <row r="27" customFormat="false" ht="75" hidden="false" customHeight="true" outlineLevel="0" collapsed="false">
      <c r="B27" s="18" t="s">
        <v>210</v>
      </c>
      <c r="C27" s="18"/>
      <c r="D27" s="18"/>
      <c r="E27" s="18"/>
      <c r="F27" s="18"/>
      <c r="G27" s="18"/>
      <c r="H27" s="18"/>
      <c r="I27" s="18"/>
    </row>
    <row r="28" customFormat="false" ht="60" hidden="false" customHeight="true" outlineLevel="0" collapsed="false">
      <c r="B28" s="18" t="s">
        <v>211</v>
      </c>
      <c r="C28" s="18"/>
      <c r="D28" s="18"/>
      <c r="E28" s="18"/>
      <c r="F28" s="18"/>
      <c r="G28" s="18"/>
      <c r="H28" s="18"/>
      <c r="I28" s="18"/>
    </row>
    <row r="29" customFormat="false" ht="45" hidden="false" customHeight="true" outlineLevel="0" collapsed="false">
      <c r="B29" s="18" t="s">
        <v>212</v>
      </c>
      <c r="C29" s="18"/>
      <c r="D29" s="18"/>
      <c r="E29" s="18"/>
      <c r="F29" s="18"/>
      <c r="G29" s="18"/>
      <c r="H29" s="18"/>
      <c r="I29" s="18"/>
    </row>
  </sheetData>
  <mergeCells count="4">
    <mergeCell ref="B26:I26"/>
    <mergeCell ref="B27:I27"/>
    <mergeCell ref="B28:I28"/>
    <mergeCell ref="B29:I29"/>
  </mergeCells>
  <printOptions headings="false" gridLines="false" gridLinesSet="true" horizontalCentered="true" verticalCentered="false"/>
  <pageMargins left="0.4" right="0.4" top="0.5" bottom="0.55" header="0.5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>&amp;L&amp;"Arial,Bold"&amp;8Tata Consultancy Services — Football Field and Valuation Summary&amp;R&amp;"Arial,Regular"&amp;8Ranges</oddHeader>
    <oddFooter>&amp;L&amp;"Arial,Regular"&amp;8Jainam Mehta · github.com/jainammehta1215/ib-portfolio&amp;C&amp;"Arial,Regular"&amp;8Blue = input · Black = formula · Green = link&amp;R&amp;"Arial,Regular"&amp;8Page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4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.5"/>
    <col collapsed="false" customWidth="true" hidden="false" outlineLevel="0" max="2" min="2" style="0" width="40"/>
    <col collapsed="false" customWidth="true" hidden="false" outlineLevel="0" max="10" min="3" style="0" width="13"/>
  </cols>
  <sheetData>
    <row r="1" customFormat="false" ht="30" hidden="false" customHeight="true" outlineLevel="0" collapsed="false">
      <c r="A1" s="1"/>
      <c r="B1" s="20" t="s">
        <v>39</v>
      </c>
      <c r="C1" s="1"/>
      <c r="D1" s="1"/>
      <c r="E1" s="1"/>
      <c r="F1" s="1"/>
      <c r="G1" s="1"/>
      <c r="H1" s="1"/>
      <c r="I1" s="1"/>
      <c r="J1" s="21" t="s">
        <v>40</v>
      </c>
    </row>
    <row r="2" customFormat="false" ht="18" hidden="false" customHeight="true" outlineLevel="0" collapsed="false">
      <c r="A2" s="1"/>
      <c r="B2" s="22" t="s">
        <v>213</v>
      </c>
      <c r="C2" s="1"/>
      <c r="D2" s="1"/>
      <c r="E2" s="1"/>
      <c r="F2" s="1"/>
      <c r="G2" s="1"/>
      <c r="H2" s="1"/>
      <c r="I2" s="1"/>
      <c r="J2" s="1"/>
    </row>
    <row r="4" customFormat="false" ht="15.75" hidden="false" customHeight="true" outlineLevel="0" collapsed="false">
      <c r="B4" s="23" t="s">
        <v>214</v>
      </c>
      <c r="C4" s="1"/>
      <c r="D4" s="1"/>
      <c r="E4" s="1"/>
      <c r="F4" s="1"/>
      <c r="G4" s="1"/>
      <c r="H4" s="1"/>
      <c r="I4" s="1"/>
      <c r="J4" s="1"/>
    </row>
    <row r="5" customFormat="false" ht="18" hidden="false" customHeight="true" outlineLevel="0" collapsed="false">
      <c r="B5" s="35" t="s">
        <v>172</v>
      </c>
      <c r="C5" s="36" t="s">
        <v>215</v>
      </c>
      <c r="D5" s="36" t="s">
        <v>216</v>
      </c>
      <c r="E5" s="36" t="s">
        <v>217</v>
      </c>
      <c r="F5" s="36" t="s">
        <v>218</v>
      </c>
    </row>
    <row r="6" customFormat="false" ht="15" hidden="false" customHeight="false" outlineLevel="0" collapsed="false">
      <c r="B6" s="19" t="s">
        <v>179</v>
      </c>
      <c r="C6" s="54" t="n">
        <f aca="false">Ranges!C5</f>
        <v>1976.8</v>
      </c>
      <c r="D6" s="48" t="n">
        <f aca="false">Ranges!D5-Ranges!C5</f>
        <v>1373.2</v>
      </c>
      <c r="E6" s="54" t="n">
        <f aca="false">Ranges!C5</f>
        <v>1976.8</v>
      </c>
      <c r="F6" s="54" t="n">
        <f aca="false">Ranges!D5</f>
        <v>3350</v>
      </c>
    </row>
    <row r="7" customFormat="false" ht="15" hidden="false" customHeight="false" outlineLevel="0" collapsed="false">
      <c r="B7" s="19" t="s">
        <v>182</v>
      </c>
      <c r="C7" s="54" t="n">
        <f aca="false">Ranges!C6</f>
        <v>1775</v>
      </c>
      <c r="D7" s="48" t="n">
        <f aca="false">Ranges!D6-Ranges!C6</f>
        <v>2125</v>
      </c>
      <c r="E7" s="54" t="n">
        <f aca="false">Ranges!C6</f>
        <v>1775</v>
      </c>
      <c r="F7" s="54" t="n">
        <f aca="false">Ranges!D6</f>
        <v>3900</v>
      </c>
    </row>
    <row r="8" customFormat="false" ht="15" hidden="false" customHeight="false" outlineLevel="0" collapsed="false">
      <c r="B8" s="19" t="s">
        <v>185</v>
      </c>
      <c r="C8" s="54" t="n">
        <f aca="false">Ranges!C7</f>
        <v>1624.61567248631</v>
      </c>
      <c r="D8" s="48" t="n">
        <f aca="false">Ranges!D7-Ranges!C7</f>
        <v>879.685047694581</v>
      </c>
      <c r="E8" s="54" t="n">
        <f aca="false">Ranges!C7</f>
        <v>1624.61567248631</v>
      </c>
      <c r="F8" s="54" t="n">
        <f aca="false">Ranges!D7</f>
        <v>2504.30072018089</v>
      </c>
    </row>
    <row r="9" customFormat="false" ht="15" hidden="false" customHeight="false" outlineLevel="0" collapsed="false">
      <c r="B9" s="19" t="s">
        <v>188</v>
      </c>
      <c r="C9" s="54" t="n">
        <f aca="false">Ranges!C8</f>
        <v>1242.05</v>
      </c>
      <c r="D9" s="48" t="n">
        <f aca="false">Ranges!D8-Ranges!C8</f>
        <v>503.27</v>
      </c>
      <c r="E9" s="54" t="n">
        <f aca="false">Ranges!C8</f>
        <v>1242.05</v>
      </c>
      <c r="F9" s="54" t="n">
        <f aca="false">Ranges!D8</f>
        <v>1745.32</v>
      </c>
    </row>
    <row r="10" customFormat="false" ht="15" hidden="false" customHeight="false" outlineLevel="0" collapsed="false">
      <c r="B10" s="19" t="s">
        <v>190</v>
      </c>
      <c r="C10" s="54" t="n">
        <f aca="false">Ranges!C9</f>
        <v>1652.2</v>
      </c>
      <c r="D10" s="48" t="n">
        <f aca="false">Ranges!D9-Ranges!C9</f>
        <v>826.29</v>
      </c>
      <c r="E10" s="54" t="n">
        <f aca="false">Ranges!C9</f>
        <v>1652.2</v>
      </c>
      <c r="F10" s="54" t="n">
        <f aca="false">Ranges!D9</f>
        <v>2478.49</v>
      </c>
    </row>
    <row r="11" customFormat="false" ht="15" hidden="false" customHeight="false" outlineLevel="0" collapsed="false">
      <c r="B11" s="19" t="s">
        <v>192</v>
      </c>
      <c r="C11" s="54" t="n">
        <f aca="false">Ranges!C10</f>
        <v>1874.11</v>
      </c>
      <c r="D11" s="48" t="n">
        <f aca="false">Ranges!D10-Ranges!C10</f>
        <v>814.83</v>
      </c>
      <c r="E11" s="54" t="n">
        <f aca="false">Ranges!C10</f>
        <v>1874.11</v>
      </c>
      <c r="F11" s="54" t="n">
        <f aca="false">Ranges!D10</f>
        <v>2688.94</v>
      </c>
    </row>
    <row r="12" customFormat="false" ht="15" hidden="false" customHeight="false" outlineLevel="0" collapsed="false">
      <c r="B12" s="19" t="s">
        <v>194</v>
      </c>
      <c r="C12" s="54" t="n">
        <f aca="false">Ranges!C11</f>
        <v>1428.41</v>
      </c>
      <c r="D12" s="48" t="n">
        <f aca="false">Ranges!D11-Ranges!C11</f>
        <v>1254</v>
      </c>
      <c r="E12" s="54" t="n">
        <f aca="false">Ranges!C11</f>
        <v>1428.41</v>
      </c>
      <c r="F12" s="54" t="n">
        <f aca="false">Ranges!D11</f>
        <v>2682.41</v>
      </c>
    </row>
    <row r="13" customFormat="false" ht="15" hidden="false" customHeight="false" outlineLevel="0" collapsed="false">
      <c r="B13" s="19" t="s">
        <v>197</v>
      </c>
      <c r="C13" s="54" t="n">
        <f aca="false">Ranges!C12</f>
        <v>2862.26</v>
      </c>
      <c r="D13" s="48" t="n">
        <f aca="false">Ranges!D12-Ranges!C12</f>
        <v>670.06</v>
      </c>
      <c r="E13" s="54" t="n">
        <f aca="false">Ranges!C12</f>
        <v>2862.26</v>
      </c>
      <c r="F13" s="54" t="n">
        <f aca="false">Ranges!D12</f>
        <v>3532.32</v>
      </c>
    </row>
    <row r="14" customFormat="false" ht="15" hidden="false" customHeight="false" outlineLevel="0" collapsed="false">
      <c r="B14" s="35" t="s">
        <v>219</v>
      </c>
      <c r="C14" s="54" t="n">
        <f aca="false">Ranges!C16</f>
        <v>1675.90298537021</v>
      </c>
      <c r="D14" s="48" t="n">
        <f aca="false">Ranges!D16-Ranges!C16</f>
        <v>938.251266693104</v>
      </c>
      <c r="E14" s="54" t="n">
        <f aca="false">Ranges!C16</f>
        <v>1675.90298537021</v>
      </c>
      <c r="F14" s="54" t="n">
        <f aca="false">Ranges!D16</f>
        <v>2614.15425206331</v>
      </c>
    </row>
    <row r="16" customFormat="false" ht="15" hidden="false" customHeight="false" outlineLevel="0" collapsed="false">
      <c r="B16" s="58" t="s">
        <v>220</v>
      </c>
    </row>
    <row r="43" customFormat="false" ht="30" hidden="false" customHeight="true" outlineLevel="0" collapsed="false">
      <c r="B43" s="18" t="s">
        <v>221</v>
      </c>
      <c r="C43" s="18"/>
      <c r="D43" s="18"/>
      <c r="E43" s="18"/>
      <c r="F43" s="18"/>
      <c r="G43" s="18"/>
      <c r="H43" s="18"/>
      <c r="I43" s="18"/>
      <c r="J43" s="18"/>
    </row>
  </sheetData>
  <mergeCells count="1">
    <mergeCell ref="B43:J43"/>
  </mergeCells>
  <printOptions headings="false" gridLines="false" gridLinesSet="true" horizontalCentered="true" verticalCentered="false"/>
  <pageMargins left="0.4" right="0.4" top="0.5" bottom="0.55" header="0.5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>&amp;L&amp;"Arial,Bold"&amp;8Tata Consultancy Services — Football Field and Valuation Summary&amp;R&amp;"Arial,Regular"&amp;8Football Field</oddHeader>
    <oddFooter>&amp;L&amp;"Arial,Regular"&amp;8Jainam Mehta · github.com/jainammehta1215/ib-portfolio&amp;C&amp;"Arial,Regular"&amp;8Blue = input · Black = formula · Green = link&amp;R&amp;"Arial,Regular"&amp;8Page &amp;P of &amp;N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.5"/>
    <col collapsed="false" customWidth="true" hidden="false" outlineLevel="0" max="2" min="2" style="0" width="68"/>
    <col collapsed="false" customWidth="true" hidden="false" outlineLevel="0" max="5" min="3" style="0" width="16"/>
  </cols>
  <sheetData>
    <row r="1" customFormat="false" ht="30" hidden="false" customHeight="true" outlineLevel="0" collapsed="false">
      <c r="A1" s="1"/>
      <c r="B1" s="20" t="s">
        <v>39</v>
      </c>
      <c r="C1" s="1"/>
      <c r="D1" s="1"/>
      <c r="E1" s="21" t="s">
        <v>40</v>
      </c>
    </row>
    <row r="2" customFormat="false" ht="18" hidden="false" customHeight="true" outlineLevel="0" collapsed="false">
      <c r="A2" s="1"/>
      <c r="B2" s="22" t="s">
        <v>222</v>
      </c>
      <c r="C2" s="1"/>
      <c r="D2" s="1"/>
      <c r="E2" s="1"/>
    </row>
    <row r="4" customFormat="false" ht="15.75" hidden="false" customHeight="true" outlineLevel="0" collapsed="false">
      <c r="B4" s="23" t="s">
        <v>223</v>
      </c>
      <c r="C4" s="1"/>
      <c r="D4" s="1"/>
      <c r="E4" s="1"/>
    </row>
    <row r="5" customFormat="false" ht="15" hidden="false" customHeight="false" outlineLevel="0" collapsed="false">
      <c r="B5" s="19" t="s">
        <v>224</v>
      </c>
      <c r="C5" s="59" t="b">
        <f aca="false">Inputs!$C$22&gt;Inputs!$C$29</f>
        <v>1</v>
      </c>
    </row>
    <row r="6" customFormat="false" ht="15" hidden="false" customHeight="false" outlineLevel="0" collapsed="false">
      <c r="B6" s="19" t="s">
        <v>225</v>
      </c>
      <c r="C6" s="59" t="b">
        <f aca="false">ABS(DCF!K34-(DCF!K32+DCF!K33))&lt;0.01</f>
        <v>1</v>
      </c>
    </row>
    <row r="7" customFormat="false" ht="15" hidden="false" customHeight="false" outlineLevel="0" collapsed="false">
      <c r="B7" s="19" t="s">
        <v>226</v>
      </c>
      <c r="C7" s="59" t="b">
        <f aca="false">ABS(DCF!K37-(DCF!K34+DCF!K36))&lt;0.01</f>
        <v>1</v>
      </c>
    </row>
    <row r="8" customFormat="false" ht="15" hidden="false" customHeight="false" outlineLevel="0" collapsed="false">
      <c r="B8" s="19" t="s">
        <v>227</v>
      </c>
      <c r="C8" s="59" t="b">
        <f aca="false">DCF!K39&gt;0</f>
        <v>1</v>
      </c>
    </row>
    <row r="9" customFormat="false" ht="15" hidden="false" customHeight="false" outlineLevel="0" collapsed="false">
      <c r="B9" s="19" t="s">
        <v>228</v>
      </c>
      <c r="C9" s="59" t="b">
        <f aca="false">AND(DCF!K35&gt;0.5,DCF!K35&lt;0.9)</f>
        <v>1</v>
      </c>
    </row>
    <row r="10" customFormat="false" ht="15" hidden="false" customHeight="false" outlineLevel="0" collapsed="false">
      <c r="B10" s="19" t="s">
        <v>229</v>
      </c>
      <c r="C10" s="59" t="b">
        <f aca="false">ABS(DCF!K24/DCF!K26-1)&lt;0.35</f>
        <v>1</v>
      </c>
    </row>
    <row r="11" customFormat="false" ht="15" hidden="false" customHeight="false" outlineLevel="0" collapsed="false">
      <c r="B11" s="19" t="s">
        <v>230</v>
      </c>
      <c r="C11" s="59" t="b">
        <f aca="false">ABS(DCF!E47-DCF!K39)&lt;1</f>
        <v>1</v>
      </c>
    </row>
    <row r="12" customFormat="false" ht="15" hidden="false" customHeight="false" outlineLevel="0" collapsed="false">
      <c r="B12" s="19" t="s">
        <v>231</v>
      </c>
      <c r="C12" s="59" t="b">
        <f aca="false">MIN(DCF!G15:K15)&gt;0</f>
        <v>1</v>
      </c>
    </row>
    <row r="13" customFormat="false" ht="15" hidden="false" customHeight="false" outlineLevel="0" collapsed="false">
      <c r="B13" s="19" t="s">
        <v>232</v>
      </c>
      <c r="C13" s="59" t="b">
        <f aca="false">MAX(DCF!G7:K7)&lt;=MAX(DCF!D7:F7)</f>
        <v>1</v>
      </c>
    </row>
    <row r="14" customFormat="false" ht="15" hidden="false" customHeight="false" outlineLevel="0" collapsed="false">
      <c r="B14" s="19" t="s">
        <v>233</v>
      </c>
      <c r="C14" s="59" t="b">
        <f aca="false">SUMPRODUCT(--(Ranges!C5:C12&gt;Ranges!D5:D12))=0</f>
        <v>1</v>
      </c>
    </row>
    <row r="15" customFormat="false" ht="15" hidden="false" customHeight="false" outlineLevel="0" collapsed="false">
      <c r="B15" s="19" t="s">
        <v>234</v>
      </c>
      <c r="C15" s="59" t="b">
        <f aca="false">MIN(Ranges!F5:F12)&gt;0</f>
        <v>1</v>
      </c>
    </row>
    <row r="16" customFormat="false" ht="15" hidden="false" customHeight="false" outlineLevel="0" collapsed="false">
      <c r="B16" s="19" t="s">
        <v>235</v>
      </c>
      <c r="C16" s="59" t="b">
        <f aca="false">ABS(Ranges!G13-1)&lt;0.0001</f>
        <v>1</v>
      </c>
    </row>
    <row r="17" customFormat="false" ht="15" hidden="false" customHeight="false" outlineLevel="0" collapsed="false">
      <c r="B17" s="19" t="s">
        <v>236</v>
      </c>
      <c r="C17" s="59" t="b">
        <f aca="false">AND(Ranges!C16&lt;=Ranges!E16,Ranges!E16&lt;=Ranges!D16)</f>
        <v>1</v>
      </c>
    </row>
    <row r="18" customFormat="false" ht="15" hidden="false" customHeight="false" outlineLevel="0" collapsed="false">
      <c r="B18" s="19" t="s">
        <v>237</v>
      </c>
      <c r="C18" s="59" t="b">
        <f aca="false">AND(Ranges!C16&gt;=Ranges!C20,Ranges!D16&lt;=Ranges!C21)</f>
        <v>1</v>
      </c>
    </row>
    <row r="19" customFormat="false" ht="15" hidden="false" customHeight="false" outlineLevel="0" collapsed="false">
      <c r="B19" s="19" t="s">
        <v>238</v>
      </c>
      <c r="C19" s="59" t="b">
        <f aca="false">AND(Inputs!$C$34&lt;=Inputs!$C$35,Inputs!$C$35&lt;=Inputs!$C$36)</f>
        <v>1</v>
      </c>
    </row>
    <row r="20" customFormat="false" ht="15" hidden="false" customHeight="false" outlineLevel="0" collapsed="false">
      <c r="B20" s="19" t="s">
        <v>239</v>
      </c>
      <c r="C20" s="59" t="b">
        <f aca="false">AND(ABS(SUM('Football Field'!E6:E14)-(SUM(Ranges!C5:C12)+Ranges!C16))&lt;0.01,ABS(SUM('Football Field'!F6:F14)-(SUM(Ranges!D5:D12)+Ranges!D16))&lt;0.01)</f>
        <v>1</v>
      </c>
    </row>
    <row r="21" customFormat="false" ht="15" hidden="false" customHeight="false" outlineLevel="0" collapsed="false">
      <c r="B21" s="19" t="s">
        <v>240</v>
      </c>
      <c r="C21" s="59" t="b">
        <f aca="false">AND(ABS(Inputs!$C$5-2200.8)&lt;0.01,ABS(Inputs!$C$8-3618.087518)&lt;0.01)</f>
        <v>1</v>
      </c>
    </row>
    <row r="22" customFormat="false" ht="15" hidden="false" customHeight="false" outlineLevel="0" collapsed="false">
      <c r="B22" s="19" t="s">
        <v>241</v>
      </c>
      <c r="C22" s="59" t="b">
        <f aca="false">AND(Inputs!$C$5&gt;=Ranges!C20,Inputs!$C$5&lt;=Ranges!C21)</f>
        <v>1</v>
      </c>
    </row>
    <row r="24" customFormat="false" ht="15" hidden="false" customHeight="false" outlineLevel="0" collapsed="false">
      <c r="B24" s="60" t="s">
        <v>242</v>
      </c>
      <c r="C24" s="61" t="str">
        <f aca="false">IF(COUNTIF(C5:C22,FALSE())=0,"MODEL OK","CHECK FAILED")</f>
        <v>MODEL OK</v>
      </c>
    </row>
    <row r="26" customFormat="false" ht="39.75" hidden="false" customHeight="true" outlineLevel="0" collapsed="false">
      <c r="B26" s="18" t="s">
        <v>243</v>
      </c>
      <c r="C26" s="18"/>
      <c r="D26" s="18"/>
      <c r="E26" s="18"/>
    </row>
  </sheetData>
  <mergeCells count="1">
    <mergeCell ref="B26:E26"/>
  </mergeCells>
  <printOptions headings="false" gridLines="false" gridLinesSet="true" horizontalCentered="true" verticalCentered="false"/>
  <pageMargins left="0.4" right="0.4" top="0.5" bottom="0.55" header="0.5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>&amp;L&amp;"Arial,Bold"&amp;8Tata Consultancy Services — Football Field and Valuation Summary&amp;R&amp;"Arial,Regular"&amp;8Checks</oddHeader>
    <oddFooter>&amp;L&amp;"Arial,Regular"&amp;8Jainam Mehta · github.com/jainammehta1215/ib-portfolio&amp;C&amp;"Arial,Regular"&amp;8Blue = input · Black = formula · Green = link&amp;R&amp;"Arial,Regular"&amp;8Page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2026-09-14T14:28:18Z</dcterms:created>
  <dc:creator>openpyxl</dc:creator>
  <dc:description/>
  <dc:language>en-US</dc:language>
  <cp:lastModifiedBy/>
  <dcterms:modified xsi:type="dcterms:W3CDTF">2026-09-14T14:28:20Z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