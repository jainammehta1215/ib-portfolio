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Inputs" sheetId="3" state="visible" r:id="rId5"/>
    <sheet name="Data" sheetId="4" state="visible" r:id="rId6"/>
    <sheet name="Comps" sheetId="5" state="visible" r:id="rId7"/>
    <sheet name="Calendarisation" sheetId="6" state="visible" r:id="rId8"/>
    <sheet name="Checks" sheetId="7" state="visible" r:id="rId9"/>
  </sheets>
  <definedNames>
    <definedName function="false" hidden="false" localSheetId="5" name="_xlnm.Print_Area" vbProcedure="false">Calendarisation!$A$1:$H$18</definedName>
    <definedName function="false" hidden="false" localSheetId="6" name="_xlnm.Print_Area" vbProcedure="false">Checks!$A$1:$D$10</definedName>
    <definedName function="false" hidden="false" localSheetId="4" name="_xlnm.Print_Area" vbProcedure="false">Comps!$A$1:$T$26</definedName>
    <definedName function="false" hidden="false" localSheetId="4" name="_xlnm.Print_Titles" vbProcedure="false">Comps!$1:$4</definedName>
    <definedName function="false" hidden="false" localSheetId="0" name="_xlnm.Print_Area" vbProcedure="false">Cover!$A$1:$F$45</definedName>
    <definedName function="false" hidden="false" localSheetId="3" name="_xlnm.Print_Area" vbProcedure="false">Data!$A$1:$V$15</definedName>
    <definedName function="false" hidden="false" localSheetId="3" name="_xlnm.Print_Titles" vbProcedure="false">Data!$1:$4</definedName>
    <definedName function="false" hidden="false" localSheetId="2" name="_xlnm.Print_Area" vbProcedure="false">Inputs!$A$1:$F$16</definedName>
    <definedName function="false" hidden="false" localSheetId="1" name="_xlnm.Print_Area" vbProcedure="false">Summary!$A$1:$I$32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<sst xmlns="http://schemas.openxmlformats.org/spreadsheetml/2006/main" count="241" uniqueCount="185">
  <si>
    <t xml:space="preserve">IB PORTFOLIO · PROJECT 03 OF 20</t>
  </si>
  <si>
    <t xml:space="preserve">Tata Consultancy Services</t>
  </si>
  <si>
    <t xml:space="preserve">Trading Comparables</t>
  </si>
  <si>
    <t xml:space="preserve">NSE: TCS   ·   US$ millions unless stated · share prices in local currency   ·   as of prices 12 Sep 2026 · LTM to Jun 2026</t>
  </si>
  <si>
    <t xml:space="preserve">What this is</t>
  </si>
  <si>
    <t xml:space="preserve">A comparable-companies analysis for Tata Consultancy Services against eight Indian and global IT-services peers: peer selection with stated criteria, currency normalisation (Infosys reports in US$ while trading in INR), enterprise-value construction, LTM and calendarised forward multiples, peer statistics and the implied valuation range for TCS.</t>
  </si>
  <si>
    <t xml:space="preserve">How it is built</t>
  </si>
  <si>
    <t xml:space="preserve">•  LTM figures are the sum of the last four reported quarters, so fiscal-year differences do not affect trailing multiples; forward figures are calendarised to TCS's FY2027 by month-overlap weights.</t>
  </si>
  <si>
    <t xml:space="preserve">•  EV = market cap + total debt + minority interest − cash and short-term investments; every component converted to US$ at the rate for its own currency (statements and share price can differ).</t>
  </si>
  <si>
    <t xml:space="preserve">•  Statistics exclude the target; the implied range applies the peer interquartile range of each multiple to TCS's own metric and bridges back to an INR price per share.</t>
  </si>
  <si>
    <t xml:space="preserve">•  Peer-selection criteria and exclusions are written down on the Inputs sheet, because that is where the judgement in a comps page lives.</t>
  </si>
  <si>
    <t xml:space="preserve">Contents</t>
  </si>
  <si>
    <t xml:space="preserve">Summary  —  TCS metrics and the implied per-share range from peer multiples</t>
  </si>
  <si>
    <t xml:space="preserve">Inputs  —  FX, target, calendarisation window, peer-selection rationale</t>
  </si>
  <si>
    <t xml:space="preserve">Data  —  raw pulls in reporting currency</t>
  </si>
  <si>
    <t xml:space="preserve">Comps  —  US$ normalisation, EV build, LTM and calendarised multiples, peer statistics</t>
  </si>
  <si>
    <t xml:space="preserve">Calendarisation  —  worked example of aligning March and December fiscal years</t>
  </si>
  <si>
    <t xml:space="preserve">Checks  —  integrity checks</t>
  </si>
  <si>
    <t xml:space="preserve">Key outputs (live)</t>
  </si>
  <si>
    <t xml:space="preserve">TCS EV / LTM EBITDA</t>
  </si>
  <si>
    <t xml:space="preserve">Peer median EV / LTM EBITDA</t>
  </si>
  <si>
    <t xml:space="preserve">TCS P/E (CY2027, calendarised)</t>
  </si>
  <si>
    <t xml:space="preserve">Implied price range, median across methods (INR)</t>
  </si>
  <si>
    <t xml:space="preserve">Current price (INR)</t>
  </si>
  <si>
    <t xml:space="preserve">Model status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</si>
  <si>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</si>
  <si>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</si>
  <si>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</si>
  <si>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</si>
  <si>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</si>
  <si>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</si>
  <si>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Yahoo Finance: prices, shares outstanding, quarterly financial statements, consensus revenue and EPS estimates (12 Sep 2026)</t>
  </si>
  <si>
    <t xml:space="preserve">Company filings for fiscal-year ends (TCS, Infosys, HCLTech, Wipro, Tech Mahindra, Persistent: 31 March; Accenture: 31 August; Cognizant, EPAM: 31 December)</t>
  </si>
  <si>
    <t xml:space="preserve">Prepared by</t>
  </si>
  <si>
    <t xml:space="preserve">Jainam Mehta · github.com/jainammehta1215/ib-portfolio</t>
  </si>
  <si>
    <t xml:space="preserve">Tata Consultancy Services — Trading Comparables</t>
  </si>
  <si>
    <t xml:space="preserve">TATA CONSULTANCY SERVICES</t>
  </si>
  <si>
    <t xml:space="preserve">Implied TCS valuation from the peer interquartile range · per-share values in INR</t>
  </si>
  <si>
    <t xml:space="preserve">TCS METRICS (US$m unless stated)</t>
  </si>
  <si>
    <t xml:space="preserve">LTM revenue</t>
  </si>
  <si>
    <t xml:space="preserve">LTM EBITDA</t>
  </si>
  <si>
    <t xml:space="preserve">LTM EBIT</t>
  </si>
  <si>
    <t xml:space="preserve">LTM net income</t>
  </si>
  <si>
    <t xml:space="preserve">Calendarised FY2027 revenue</t>
  </si>
  <si>
    <t xml:space="preserve">Calendarised FY2027 EPS (INR)</t>
  </si>
  <si>
    <t xml:space="preserve">Net debt (negative = net cash)</t>
  </si>
  <si>
    <t xml:space="preserve">Shares (m)</t>
  </si>
  <si>
    <t xml:space="preserve">Share price (INR)</t>
  </si>
  <si>
    <t xml:space="preserve">USD per INR</t>
  </si>
  <si>
    <t xml:space="preserve">IMPLIED VALUE PER SHARE (INR) FROM PEER MULTIPLES</t>
  </si>
  <si>
    <t xml:space="preserve">Multiple</t>
  </si>
  <si>
    <t xml:space="preserve">TCS metric</t>
  </si>
  <si>
    <t xml:space="preserve">25th pct</t>
  </si>
  <si>
    <t xml:space="preserve">Median</t>
  </si>
  <si>
    <t xml:space="preserve">75th pct</t>
  </si>
  <si>
    <t xml:space="preserve">Implied price @25th</t>
  </si>
  <si>
    <t xml:space="preserve">Implied price @median</t>
  </si>
  <si>
    <t xml:space="preserve">Implied price @75th</t>
  </si>
  <si>
    <t xml:space="preserve">EV / LTM revenue</t>
  </si>
  <si>
    <t xml:space="preserve">EV / LTM EBITDA</t>
  </si>
  <si>
    <t xml:space="preserve">EV / LTM EBIT</t>
  </si>
  <si>
    <t xml:space="preserve">P / E (LTM)</t>
  </si>
  <si>
    <t xml:space="preserve">EV / CY2027 revenue (calendarised)</t>
  </si>
  <si>
    <t xml:space="preserve">P / E (CY2027, calendarised)</t>
  </si>
  <si>
    <t xml:space="preserve">Range across methods (INR)</t>
  </si>
  <si>
    <t xml:space="preserve">Current share price (INR)</t>
  </si>
  <si>
    <t xml:space="preserve">Median implied vs current</t>
  </si>
  <si>
    <t xml:space="preserve">READING THE RESULT</t>
  </si>
  <si>
    <t xml:space="preserve">•  TCS trades at a premium to the peer median on every multiple, which is its long-standing position: highest margins in the group, lowest client-concentration risk, and a Tata parent. The question a comps page answers is whether today's premium is larger or smaller than usual, not whether it exists.</t>
  </si>
  <si>
    <t xml:space="preserve">•  The Indian large caps cluster tightly; the global names (Accenture, Cognizant, EPAM) trade lower because of slower growth and, in 2026, the AI-disruption discount on outsourcing. Mixing the two tiers widens the range; a banker would show both tiers and let the client see the gap.</t>
  </si>
  <si>
    <t xml:space="preserve">•  Calendarised forward multiples are the ones institutional investors quote. The LTM columns are shown because they are the only ones that need no estimates and therefore no judgement.</t>
  </si>
  <si>
    <t xml:space="preserve">•  The implied range is a market-based anchor for the football field (Project 5). It says what the market pays for businesses like this today; it says nothing about what TCS is intrinsically worth (Project 2's question).</t>
  </si>
  <si>
    <t xml:space="preserve">FX rates, target and the peer-selection rationale</t>
  </si>
  <si>
    <t xml:space="preserve">FX (units of local currency per US$) AND TARGET</t>
  </si>
  <si>
    <t xml:space="preserve">USD per INR (1 / USDINR)</t>
  </si>
  <si>
    <t xml:space="preserve">USDINR = 95.54, Yahoo Finance 12 Sep 2026</t>
  </si>
  <si>
    <t xml:space="preserve">USD per USD</t>
  </si>
  <si>
    <t xml:space="preserve">Target ticker</t>
  </si>
  <si>
    <t xml:space="preserve">TCS.NS</t>
  </si>
  <si>
    <t xml:space="preserve">The company being valued; excluded from peer statistics</t>
  </si>
  <si>
    <t xml:space="preserve">Calendarisation window start</t>
  </si>
  <si>
    <t xml:space="preserve">2026-04-01</t>
  </si>
  <si>
    <t xml:space="preserve">TCS fiscal year FY2027: 1 Apr 2026 – 31 Mar 2027</t>
  </si>
  <si>
    <t xml:space="preserve">Calendarisation window end</t>
  </si>
  <si>
    <t xml:space="preserve">2027-03-31</t>
  </si>
  <si>
    <t xml:space="preserve">Minimum peer market cap (US$m) for statistics</t>
  </si>
  <si>
    <t xml:space="preserve">Excludes tiny names from the range; set to 0 to include all</t>
  </si>
  <si>
    <t xml:space="preserve">PEER SELECTION</t>
  </si>
  <si>
    <t xml:space="preserve">Criteria</t>
  </si>
  <si>
    <t xml:space="preserve">IT services and consulting with offshore delivery; revenue &gt; US$1bn; listed with liquid trading; LTM financials available. Two tiers: Indian large caps (the direct peers) and global consulting/services names (the customers' alternative suppliers).</t>
  </si>
  <si>
    <t xml:space="preserve">Included</t>
  </si>
  <si>
    <t xml:space="preserve">Infosys, HCLTech, Wipro (India large-cap); Tech Mahindra, Persistent (India mid-cap, higher growth, smaller); Accenture, Cognizant, EPAM (global).</t>
  </si>
  <si>
    <t xml:space="preserve">Excluded</t>
  </si>
  <si>
    <t xml:space="preserve">LTIMindtree and Capgemini: no usable data on the free feed (LTIMindtree would otherwise be included). Mphasis and Coforge: under the size threshold. IBM: conglomerate mix. Tata Elxsi: engineering R&amp;D, different economics.</t>
  </si>
  <si>
    <t xml:space="preserve">Data quirks handled</t>
  </si>
  <si>
    <t xml:space="preserve">Infosys reports IFRS statements in US$ while its shares trade in INR; the statements currency is detected and every figure is normalised to US$ before any multiple is computed. Consensus estimates are in the share-price currency for all names.</t>
  </si>
  <si>
    <t xml:space="preserve">Raw pulls in reporting currency (blue) · statements are LTM to the latest quarter · estimates are consensus averages</t>
  </si>
  <si>
    <t xml:space="preserve">Name</t>
  </si>
  <si>
    <t xml:space="preserve">Group</t>
  </si>
  <si>
    <t xml:space="preserve">Price ccy</t>
  </si>
  <si>
    <t xml:space="preserve">Statements ccy</t>
  </si>
  <si>
    <t xml:space="preserve">Share price (local)</t>
  </si>
  <si>
    <t xml:space="preserve">Market cap (local m)</t>
  </si>
  <si>
    <t xml:space="preserve">Total debt (stmt ccy m)</t>
  </si>
  <si>
    <t xml:space="preserve">Cash &amp; ST inv (stmt ccy m)</t>
  </si>
  <si>
    <t xml:space="preserve">Minority interest (stmt ccy m)</t>
  </si>
  <si>
    <t xml:space="preserve">LTM revenue (stmt ccy m)</t>
  </si>
  <si>
    <t xml:space="preserve">LTM EBITDA (stmt ccy m)</t>
  </si>
  <si>
    <t xml:space="preserve">LTM EBIT (stmt ccy m)</t>
  </si>
  <si>
    <t xml:space="preserve">LTM net income (stmt ccy m)</t>
  </si>
  <si>
    <t xml:space="preserve">LTM period end</t>
  </si>
  <si>
    <t xml:space="preserve">FY0 end (consensus)</t>
  </si>
  <si>
    <t xml:space="preserve">Revenue FY0 (price ccy m)</t>
  </si>
  <si>
    <t xml:space="preserve">Revenue FY1 (price ccy m)</t>
  </si>
  <si>
    <t xml:space="preserve">EPS FY0 (price ccy)</t>
  </si>
  <si>
    <t xml:space="preserve">EPS FY1 (price ccy)</t>
  </si>
  <si>
    <t xml:space="preserve">India large-cap</t>
  </si>
  <si>
    <t xml:space="preserve">INR</t>
  </si>
  <si>
    <t xml:space="preserve">2026-06-30</t>
  </si>
  <si>
    <t xml:space="preserve">INFY.NS</t>
  </si>
  <si>
    <t xml:space="preserve">Infosys</t>
  </si>
  <si>
    <t xml:space="preserve">USD</t>
  </si>
  <si>
    <t xml:space="preserve">HCLTECH.NS</t>
  </si>
  <si>
    <t xml:space="preserve">HCL Technologies</t>
  </si>
  <si>
    <t xml:space="preserve">WIPRO.NS</t>
  </si>
  <si>
    <t xml:space="preserve">Wipro</t>
  </si>
  <si>
    <t xml:space="preserve">TECHM.NS</t>
  </si>
  <si>
    <t xml:space="preserve">Tech Mahindra</t>
  </si>
  <si>
    <t xml:space="preserve">India mid-cap</t>
  </si>
  <si>
    <t xml:space="preserve">PERSISTENT.NS</t>
  </si>
  <si>
    <t xml:space="preserve">Persistent Systems</t>
  </si>
  <si>
    <t xml:space="preserve">ACN</t>
  </si>
  <si>
    <t xml:space="preserve">Accenture</t>
  </si>
  <si>
    <t xml:space="preserve">Global</t>
  </si>
  <si>
    <t xml:space="preserve">2026-05-31</t>
  </si>
  <si>
    <t xml:space="preserve">2026-08-31</t>
  </si>
  <si>
    <t xml:space="preserve">CTSH</t>
  </si>
  <si>
    <t xml:space="preserve">Cognizant</t>
  </si>
  <si>
    <t xml:space="preserve">2026-12-31</t>
  </si>
  <si>
    <t xml:space="preserve">EPAM</t>
  </si>
  <si>
    <t xml:space="preserve">EPAM Systems</t>
  </si>
  <si>
    <t xml:space="preserve">Source: Yahoo Finance (prices, shares, quarterly statements, consensus revenue and EPS), 12 Sep 2026. LTM = sum of the last four reported quarters. Minority interest is zero where not reported. Persistent is below the size of the others and is flagged as mid-cap; the statistics exclude names under the market-cap floor on the Inputs sheet.</t>
  </si>
  <si>
    <t xml:space="preserve">Everything in US$ millions · EV = market cap + debt + minorities − cash · NTM figures calendarised to TCS's March year</t>
  </si>
  <si>
    <t xml:space="preserve">Company</t>
  </si>
  <si>
    <t xml:space="preserve">Market cap</t>
  </si>
  <si>
    <t xml:space="preserve">Net debt</t>
  </si>
  <si>
    <t xml:space="preserve">EV</t>
  </si>
  <si>
    <t xml:space="preserve">LTM NI</t>
  </si>
  <si>
    <t xml:space="preserve">EBITDA margin</t>
  </si>
  <si>
    <t xml:space="preserve">Rev growth FY1/FY0</t>
  </si>
  <si>
    <t xml:space="preserve">EV / Revenue</t>
  </si>
  <si>
    <t xml:space="preserve">EV / EBITDA</t>
  </si>
  <si>
    <t xml:space="preserve">EV / EBIT</t>
  </si>
  <si>
    <t xml:space="preserve">CY revenue (cal.)</t>
  </si>
  <si>
    <t xml:space="preserve">CY EPS (cal., local)</t>
  </si>
  <si>
    <t xml:space="preserve">EV / CY revenue</t>
  </si>
  <si>
    <t xml:space="preserve">P / E (CY)</t>
  </si>
  <si>
    <t xml:space="preserve">PEER STATISTICS (excluding the target and names under the market-cap floor)</t>
  </si>
  <si>
    <t xml:space="preserve">Maximum</t>
  </si>
  <si>
    <t xml:space="preserve">75th percentile</t>
  </si>
  <si>
    <t xml:space="preserve">Mean</t>
  </si>
  <si>
    <t xml:space="preserve">25th percentile</t>
  </si>
  <si>
    <t xml:space="preserve">Minimum</t>
  </si>
  <si>
    <t xml:space="preserve">Statistics are computed over the eight peers only (the target's row is outside the range by construction). All eight clear the US$5bn market-cap floor on the Inputs sheet, so the floor is not binding in this run; drop a name from the peer list to exclude it.</t>
  </si>
  <si>
    <t xml:space="preserve">TARGET vs PEER MEDIAN</t>
  </si>
  <si>
    <t xml:space="preserve">TCS</t>
  </si>
  <si>
    <t xml:space="preserve">Premium / (discount) to median</t>
  </si>
  <si>
    <t xml:space="preserve">Why a March-year company cannot be compared to a December-year company without adjustment</t>
  </si>
  <si>
    <t xml:space="preserve">METHOD</t>
  </si>
  <si>
    <t xml:space="preserve">Consensus estimates are quoted for each company's own fiscal year. To compare TCS (year to 31 March) with Cognizant (year to 31 December) on a forward multiple, both must be expressed over the same twelve months. This workbook calendarises every peer to TCS's FY2027 (1 Apr 2026 – 31 Mar 2027): weight w0 on the consensus year that ends inside the window and (1 − w0) on the following year, where w0 = months of overlap / 12.</t>
  </si>
  <si>
    <t xml:space="preserve">Consensus FY0 ends</t>
  </si>
  <si>
    <t xml:space="preserve">Overlap with Apr-26 → Mar-27 (years)</t>
  </si>
  <si>
    <t xml:space="preserve">Weight on FY0</t>
  </si>
  <si>
    <t xml:space="preserve">Weight on FY1</t>
  </si>
  <si>
    <t xml:space="preserve">Revenue FY0 (local m)</t>
  </si>
  <si>
    <t xml:space="preserve">Revenue FY1 (local m)</t>
  </si>
  <si>
    <t xml:space="preserve">Calendarised revenue (local m)</t>
  </si>
  <si>
    <t xml:space="preserve">Reading: an Indian peer's FY0 already coincides with the window (weight 1.0). Cognizant's calendar 2026 covers nine of the twelve months (weight 0.75). Accenture's year to August 2026 covers five months (weight 0.42), so most of its calendarised figure comes from FY2027. Without this step Accenture would be compared on a period ending seven months earlier than TCS's.</t>
  </si>
  <si>
    <t xml:space="preserve">Integrity checks · should all be TRUE</t>
  </si>
  <si>
    <t xml:space="preserve">Every peer's EV is positive</t>
  </si>
  <si>
    <t xml:space="preserve">Infosys statements detected as US$ (revenue in US$ ≈ 20bn, not 20m)</t>
  </si>
  <si>
    <t xml:space="preserve">Calendarisation weights lie between 0 and 1</t>
  </si>
  <si>
    <t xml:space="preserve">TCS EV/EBITDA within a plausible band (10x–40x)</t>
  </si>
  <si>
    <t xml:space="preserve">Implied price range is ordered (25th ≤ median ≤ 75th) for EV/EBITDA</t>
  </si>
  <si>
    <t xml:space="preserve">OVERALL</t>
  </si>
</sst>
</file>

<file path=xl/styles.xml><?xml version="1.0" encoding="utf-8"?>
<styleSheet xmlns="http://schemas.openxmlformats.org/spreadsheetml/2006/main">
  <numFmts count="8">
    <numFmt numFmtId="164" formatCode="General"/>
    <numFmt numFmtId="165" formatCode="0.0\x"/>
    <numFmt numFmtId="166" formatCode="#,##0;\(#,##0\);\-"/>
    <numFmt numFmtId="167" formatCode="#,##0.00;\(#,##0.00\);\-"/>
    <numFmt numFmtId="168" formatCode="0.000000"/>
    <numFmt numFmtId="169" formatCode="0.0%;\(0.0%\);\-"/>
    <numFmt numFmtId="170" formatCode="0.00"/>
    <numFmt numFmtId="171" formatCode="General"/>
  </numFmts>
  <fonts count="20">
    <font>
      <sz val="11"/>
      <color theme="1"/>
      <name val="Calibri"/>
      <family val="2"/>
      <charset val="1"/>
    </font>
    <font>
      <sz val="10"/>
      <name val="Arial"/>
      <family val="0"/>
    </font>
    <font>
      <sz val="10"/>
      <name val="Arial"/>
      <family val="0"/>
    </font>
    <font>
      <sz val="10"/>
      <name val="Arial"/>
      <family val="0"/>
    </font>
    <font>
      <b val="true"/>
      <sz val="9"/>
      <color rgb="FFE31837"/>
      <name val="Arial"/>
      <family val="0"/>
      <charset val="1"/>
    </font>
    <font>
      <b val="true"/>
      <sz val="24"/>
      <color rgb="FF0F2B5B"/>
      <name val="Arial"/>
      <family val="0"/>
      <charset val="1"/>
    </font>
    <font>
      <sz val="15"/>
      <color rgb="FF5B6B85"/>
      <name val="Arial"/>
      <family val="0"/>
      <charset val="1"/>
    </font>
    <font>
      <i val="true"/>
      <sz val="9"/>
      <color rgb="FF7F7F7F"/>
      <name val="Arial"/>
      <family val="0"/>
      <charset val="1"/>
    </font>
    <font>
      <b val="true"/>
      <sz val="10"/>
      <color rgb="FF0F2B5B"/>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1"/>
      <color rgb="FFFFFFFF"/>
      <name val="Arial"/>
      <family val="0"/>
      <charset val="1"/>
    </font>
  </fonts>
  <fills count="6">
    <fill>
      <patternFill patternType="none"/>
    </fill>
    <fill>
      <patternFill patternType="gray125"/>
    </fill>
    <fill>
      <patternFill patternType="solid">
        <fgColor rgb="FF0F2B5B"/>
        <bgColor rgb="FF333333"/>
      </patternFill>
    </fill>
    <fill>
      <patternFill patternType="solid">
        <fgColor rgb="FFE31837"/>
        <bgColor rgb="FF993366"/>
      </patternFill>
    </fill>
    <fill>
      <patternFill patternType="solid">
        <fgColor rgb="FFEEF2F8"/>
        <bgColor rgb="FFFFFFFF"/>
      </patternFill>
    </fill>
    <fill>
      <patternFill patternType="solid">
        <fgColor rgb="FF5B6B85"/>
        <bgColor rgb="FF7F7F7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4"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bottom"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6" fontId="13" fillId="4" borderId="0" xfId="0" applyFont="true" applyBorder="false" applyAlignment="false" applyProtection="false">
      <alignment horizontal="general" vertical="bottom" textRotation="0" wrapText="false" indent="0" shrinkToFit="false"/>
      <protection locked="true" hidden="false"/>
    </xf>
    <xf numFmtId="169" fontId="13" fillId="4" borderId="0" xfId="0" applyFont="true" applyBorder="fals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7" fontId="13" fillId="4"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31837"/>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EF2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5"/>
      <rgbColor rgb="FF969696"/>
      <rgbColor rgb="FF0F2B5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TCS_Trading_Comps.xlsx" TargetMode="External"/><Relationship Id="rId2" Type="http://schemas.openxmlformats.org/officeDocument/2006/relationships/hyperlink" Target="TCS_Trading_Comps.xlsx" TargetMode="External"/><Relationship Id="rId3" Type="http://schemas.openxmlformats.org/officeDocument/2006/relationships/hyperlink" Target="TCS_Trading_Comps.xlsx" TargetMode="External"/><Relationship Id="rId4" Type="http://schemas.openxmlformats.org/officeDocument/2006/relationships/hyperlink" Target="TCS_Trading_Comps.xlsx" TargetMode="External"/><Relationship Id="rId5" Type="http://schemas.openxmlformats.org/officeDocument/2006/relationships/hyperlink" Target="TCS_Trading_Comps.xlsx" TargetMode="External"/><Relationship Id="rId6" Type="http://schemas.openxmlformats.org/officeDocument/2006/relationships/hyperlink" Target="TCS_Trading_Comp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row>
    <row r="23" customFormat="false" ht="15" hidden="false" customHeight="false" outlineLevel="0" collapsed="false">
      <c r="A23" s="1"/>
      <c r="B23" s="7" t="s">
        <v>18</v>
      </c>
      <c r="C23" s="10" t="s">
        <v>19</v>
      </c>
      <c r="D23" s="11"/>
      <c r="E23" s="12" t="n">
        <f aca="false">Comps!N5</f>
        <v>10.3676938795115</v>
      </c>
    </row>
    <row r="24" customFormat="false" ht="15" hidden="false" customHeight="false" outlineLevel="0" collapsed="false">
      <c r="A24" s="1"/>
      <c r="C24" s="10" t="s">
        <v>20</v>
      </c>
      <c r="D24" s="11"/>
      <c r="E24" s="12" t="n">
        <f aca="false">Comps!N18</f>
        <v>8.74770480338621</v>
      </c>
    </row>
    <row r="25" customFormat="false" ht="15" hidden="false" customHeight="false" outlineLevel="0" collapsed="false">
      <c r="A25" s="1"/>
      <c r="C25" s="10" t="s">
        <v>21</v>
      </c>
      <c r="D25" s="11"/>
      <c r="E25" s="12" t="n">
        <f aca="false">Comps!T5</f>
        <v>14.1911727913279</v>
      </c>
    </row>
    <row r="26" customFormat="false" ht="15" hidden="false" customHeight="false" outlineLevel="0" collapsed="false">
      <c r="A26" s="1"/>
      <c r="C26" s="10" t="s">
        <v>22</v>
      </c>
      <c r="D26" s="11"/>
      <c r="E26" s="13" t="n">
        <f aca="false">Summary!H24</f>
        <v>1848.20538493449</v>
      </c>
    </row>
    <row r="27" customFormat="false" ht="15" hidden="false" customHeight="false" outlineLevel="0" collapsed="false">
      <c r="A27" s="1"/>
      <c r="C27" s="10" t="s">
        <v>23</v>
      </c>
      <c r="D27" s="11"/>
      <c r="E27" s="13" t="n">
        <f aca="false">Summary!$C$13</f>
        <v>2200.8</v>
      </c>
    </row>
    <row r="28" customFormat="false" ht="15" hidden="false" customHeight="false" outlineLevel="0" collapsed="false">
      <c r="A28" s="1"/>
      <c r="C28" s="10" t="s">
        <v>24</v>
      </c>
      <c r="D28" s="11"/>
      <c r="E28" s="14" t="str">
        <f aca="false">Checks!C10</f>
        <v>MODEL OK</v>
      </c>
    </row>
    <row r="29" customFormat="false" ht="15" hidden="false" customHeight="false" outlineLevel="0" collapsed="false">
      <c r="A29" s="1"/>
    </row>
    <row r="30" customFormat="false" ht="15" hidden="false" customHeight="false" outlineLevel="0" collapsed="false">
      <c r="A30" s="1"/>
      <c r="B30" s="7" t="s">
        <v>25</v>
      </c>
      <c r="C30" s="15" t="s">
        <v>26</v>
      </c>
    </row>
    <row r="31" customFormat="false" ht="15" hidden="false" customHeight="false" outlineLevel="0" collapsed="false">
      <c r="A31" s="1"/>
      <c r="C31" s="16" t="s">
        <v>27</v>
      </c>
    </row>
    <row r="32" customFormat="false" ht="15" hidden="false" customHeight="false" outlineLevel="0" collapsed="false">
      <c r="A32" s="1"/>
      <c r="C32" s="17" t="s">
        <v>28</v>
      </c>
    </row>
    <row r="33" customFormat="false" ht="15" hidden="false" customHeight="false" outlineLevel="0" collapsed="false">
      <c r="A33" s="1"/>
      <c r="C33" s="18" t="s">
        <v>29</v>
      </c>
    </row>
    <row r="34" customFormat="false" ht="15" hidden="false" customHeight="false" outlineLevel="0" collapsed="false">
      <c r="A34" s="1"/>
    </row>
    <row r="35" customFormat="false" ht="27.75" hidden="false" customHeight="true" outlineLevel="0" collapsed="false">
      <c r="A35" s="1"/>
      <c r="B35" s="7" t="s">
        <v>30</v>
      </c>
      <c r="C35" s="19" t="s">
        <v>31</v>
      </c>
      <c r="D35" s="19"/>
      <c r="E35" s="19"/>
      <c r="F35" s="19"/>
    </row>
    <row r="36" customFormat="false" ht="27.75" hidden="false" customHeight="true" outlineLevel="0" collapsed="false">
      <c r="A36" s="1"/>
      <c r="C36" s="19" t="s">
        <v>32</v>
      </c>
      <c r="D36" s="19"/>
      <c r="E36" s="19"/>
      <c r="F36" s="19"/>
    </row>
    <row r="37" customFormat="false" ht="15" hidden="false" customHeight="false" outlineLevel="0" collapsed="false">
      <c r="A37" s="1"/>
    </row>
    <row r="38" customFormat="false" ht="15" hidden="false" customHeight="false" outlineLevel="0" collapsed="false">
      <c r="A38" s="1"/>
      <c r="B38" s="7" t="s">
        <v>33</v>
      </c>
      <c r="C38" s="20" t="s">
        <v>34</v>
      </c>
    </row>
    <row r="39" customFormat="false" ht="15" hidden="false" customHeight="false" outlineLevel="0" collapsed="false">
      <c r="A39" s="1"/>
    </row>
    <row r="40" customFormat="false" ht="15" hidden="false" customHeight="false" outlineLevel="0" collapsed="false">
      <c r="A40" s="1"/>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3">
    <mergeCell ref="C9:F9"/>
    <mergeCell ref="C11:F11"/>
    <mergeCell ref="C12:F12"/>
    <mergeCell ref="C13:F13"/>
    <mergeCell ref="C14:F14"/>
    <mergeCell ref="C16:F16"/>
    <mergeCell ref="C17:F17"/>
    <mergeCell ref="C18:F18"/>
    <mergeCell ref="C19:F19"/>
    <mergeCell ref="C20:F20"/>
    <mergeCell ref="C21:F21"/>
    <mergeCell ref="C35:F35"/>
    <mergeCell ref="C36:F36"/>
  </mergeCells>
  <hyperlinks>
    <hyperlink ref="C16" r:id="rId1" location="'Summary'!A1" display="Summary  —  TCS metrics and the implied per-share range from peer multiples"/>
    <hyperlink ref="C17" r:id="rId2" location="'Inputs'!A1" display="Inputs  —  FX, target, calendarisation window, peer-selection rationale"/>
    <hyperlink ref="C18" r:id="rId3" location="'Data'!A1" display="Data  —  raw pulls in reporting currency"/>
    <hyperlink ref="C19" r:id="rId4" location="'Comps'!A1" display="Comps  —  US$ normalisation, EV build, LTM and calendarised multiples, peer statistics"/>
    <hyperlink ref="C20" r:id="rId5" location="'Calendarisation'!A1" display="Calendarisation  —  worked example of aligning March and December fiscal years"/>
    <hyperlink ref="C21" r:id="rId6" location="'Checks'!A1" display="Checks  —  integrity checks"/>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&amp;L&amp;"Arial,Bold"&amp;8Tata Consultancy Services — Trading Comparables&amp;R&amp;"Arial,Regular"&amp;8Cover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9" min="3" style="0" width="13"/>
  </cols>
  <sheetData>
    <row r="1" customFormat="false" ht="30" hidden="false" customHeight="true" outlineLevel="0" collapsed="false">
      <c r="A1" s="1"/>
      <c r="B1" s="21" t="s">
        <v>35</v>
      </c>
      <c r="C1" s="1"/>
      <c r="D1" s="1"/>
      <c r="E1" s="1"/>
      <c r="F1" s="1"/>
      <c r="G1" s="1"/>
      <c r="H1" s="1"/>
      <c r="I1" s="22" t="s">
        <v>36</v>
      </c>
    </row>
    <row r="2" customFormat="false" ht="18" hidden="false" customHeight="true" outlineLevel="0" collapsed="false">
      <c r="A2" s="1"/>
      <c r="B2" s="23" t="s">
        <v>37</v>
      </c>
      <c r="C2" s="1"/>
      <c r="D2" s="1"/>
      <c r="E2" s="1"/>
      <c r="F2" s="1"/>
      <c r="G2" s="1"/>
      <c r="H2" s="1"/>
      <c r="I2" s="1"/>
    </row>
    <row r="4" customFormat="false" ht="15.75" hidden="false" customHeight="true" outlineLevel="0" collapsed="false">
      <c r="B4" s="24" t="s">
        <v>38</v>
      </c>
      <c r="C4" s="1"/>
      <c r="D4" s="1"/>
      <c r="E4" s="1"/>
      <c r="F4" s="1"/>
      <c r="G4" s="1"/>
      <c r="H4" s="1"/>
      <c r="I4" s="1"/>
    </row>
    <row r="5" customFormat="false" ht="15" hidden="false" customHeight="false" outlineLevel="0" collapsed="false">
      <c r="B5" s="20" t="s">
        <v>39</v>
      </c>
      <c r="C5" s="25" t="n">
        <f aca="false">Comps!G5</f>
        <v>28626.93099</v>
      </c>
    </row>
    <row r="6" customFormat="false" ht="15" hidden="false" customHeight="false" outlineLevel="0" collapsed="false">
      <c r="B6" s="20" t="s">
        <v>40</v>
      </c>
      <c r="C6" s="25" t="n">
        <f aca="false">Comps!H5</f>
        <v>7747.6734</v>
      </c>
    </row>
    <row r="7" customFormat="false" ht="15" hidden="false" customHeight="false" outlineLevel="0" collapsed="false">
      <c r="B7" s="20" t="s">
        <v>41</v>
      </c>
      <c r="C7" s="25" t="n">
        <f aca="false">Comps!I5</f>
        <v>7183.92078</v>
      </c>
    </row>
    <row r="8" customFormat="false" ht="15" hidden="false" customHeight="false" outlineLevel="0" collapsed="false">
      <c r="B8" s="20" t="s">
        <v>42</v>
      </c>
      <c r="C8" s="25" t="n">
        <f aca="false">Comps!J5</f>
        <v>5284.16028</v>
      </c>
    </row>
    <row r="9" customFormat="false" ht="15" hidden="false" customHeight="false" outlineLevel="0" collapsed="false">
      <c r="B9" s="20" t="s">
        <v>43</v>
      </c>
      <c r="C9" s="25" t="n">
        <f aca="false">Comps!Q5</f>
        <v>30454.8404096912</v>
      </c>
    </row>
    <row r="10" customFormat="false" ht="15" hidden="false" customHeight="false" outlineLevel="0" collapsed="false">
      <c r="B10" s="20" t="s">
        <v>44</v>
      </c>
      <c r="C10" s="26" t="n">
        <f aca="false">Comps!R5</f>
        <v>155.08232</v>
      </c>
    </row>
    <row r="11" customFormat="false" ht="15" hidden="false" customHeight="false" outlineLevel="0" collapsed="false">
      <c r="B11" s="20" t="s">
        <v>45</v>
      </c>
      <c r="C11" s="25" t="n">
        <f aca="false">Comps!E5</f>
        <v>-3019.93884</v>
      </c>
    </row>
    <row r="12" customFormat="false" ht="15" hidden="false" customHeight="false" outlineLevel="0" collapsed="false">
      <c r="B12" s="20" t="s">
        <v>46</v>
      </c>
      <c r="C12" s="25" t="n">
        <f aca="false">Data!G5</f>
        <v>3618.087518</v>
      </c>
    </row>
    <row r="13" customFormat="false" ht="15" hidden="false" customHeight="false" outlineLevel="0" collapsed="false">
      <c r="B13" s="20" t="s">
        <v>47</v>
      </c>
      <c r="C13" s="26" t="n">
        <f aca="false">Data!F5</f>
        <v>2200.8</v>
      </c>
    </row>
    <row r="14" customFormat="false" ht="15" hidden="false" customHeight="false" outlineLevel="0" collapsed="false">
      <c r="B14" s="20" t="s">
        <v>48</v>
      </c>
      <c r="C14" s="27" t="n">
        <f aca="false">Inputs!$C$5</f>
        <v>0.010467</v>
      </c>
    </row>
    <row r="16" customFormat="false" ht="15.75" hidden="false" customHeight="true" outlineLevel="0" collapsed="false">
      <c r="B16" s="24" t="s">
        <v>49</v>
      </c>
      <c r="C16" s="1"/>
      <c r="D16" s="1"/>
      <c r="E16" s="1"/>
      <c r="F16" s="1"/>
      <c r="G16" s="1"/>
      <c r="H16" s="1"/>
      <c r="I16" s="1"/>
    </row>
    <row r="17" customFormat="false" ht="30" hidden="false" customHeight="true" outlineLevel="0" collapsed="false">
      <c r="B17" s="28" t="s">
        <v>50</v>
      </c>
      <c r="C17" s="28" t="s">
        <v>51</v>
      </c>
      <c r="D17" s="28" t="s">
        <v>52</v>
      </c>
      <c r="E17" s="28" t="s">
        <v>53</v>
      </c>
      <c r="F17" s="28" t="s">
        <v>54</v>
      </c>
      <c r="G17" s="28" t="s">
        <v>55</v>
      </c>
      <c r="H17" s="28" t="s">
        <v>56</v>
      </c>
      <c r="I17" s="28" t="s">
        <v>57</v>
      </c>
    </row>
    <row r="18" customFormat="false" ht="15" hidden="false" customHeight="false" outlineLevel="0" collapsed="false">
      <c r="B18" s="20" t="s">
        <v>58</v>
      </c>
      <c r="C18" s="25" t="n">
        <f aca="false">$C$5</f>
        <v>28626.93099</v>
      </c>
      <c r="D18" s="29" t="n">
        <f aca="false">Comps!M20</f>
        <v>1.50223932708804</v>
      </c>
      <c r="E18" s="29" t="n">
        <f aca="false">Comps!M18</f>
        <v>1.81790318306496</v>
      </c>
      <c r="F18" s="29" t="n">
        <f aca="false">Comps!M17</f>
        <v>2.24189047668746</v>
      </c>
      <c r="G18" s="30" t="n">
        <f aca="false">($C$5*Comps!M20-$C$11)/$C$12/$C$14</f>
        <v>1215.31042865337</v>
      </c>
      <c r="H18" s="30" t="n">
        <f aca="false">($C$5*Comps!M18-$C$11)/$C$12/$C$14</f>
        <v>1453.9257666976</v>
      </c>
      <c r="I18" s="30" t="n">
        <f aca="false">($C$5*Comps!M17-$C$11)/$C$12/$C$14</f>
        <v>1774.42451712024</v>
      </c>
    </row>
    <row r="19" customFormat="false" ht="15" hidden="false" customHeight="false" outlineLevel="0" collapsed="false">
      <c r="B19" s="20" t="s">
        <v>59</v>
      </c>
      <c r="C19" s="25" t="n">
        <f aca="false">$C$6</f>
        <v>7747.6734</v>
      </c>
      <c r="D19" s="29" t="n">
        <f aca="false">Comps!N20</f>
        <v>7.68612030674192</v>
      </c>
      <c r="E19" s="29" t="n">
        <f aca="false">Comps!N18</f>
        <v>8.74770480338621</v>
      </c>
      <c r="F19" s="29" t="n">
        <f aca="false">Comps!N17</f>
        <v>11.7250337048962</v>
      </c>
      <c r="G19" s="30" t="n">
        <f aca="false">($C$6*Comps!N20-$C$11)/$C$12/$C$14</f>
        <v>1652.19503986868</v>
      </c>
      <c r="H19" s="30" t="n">
        <f aca="false">($C$6*Comps!N18-$C$11)/$C$12/$C$14</f>
        <v>1869.37741605688</v>
      </c>
      <c r="I19" s="30" t="n">
        <f aca="false">($C$6*Comps!N17-$C$11)/$C$12/$C$14</f>
        <v>2478.48895410942</v>
      </c>
    </row>
    <row r="20" customFormat="false" ht="15" hidden="false" customHeight="false" outlineLevel="0" collapsed="false">
      <c r="B20" s="20" t="s">
        <v>60</v>
      </c>
      <c r="C20" s="25" t="n">
        <f aca="false">$C$7</f>
        <v>7183.92078</v>
      </c>
      <c r="D20" s="29" t="n">
        <f aca="false">Comps!O20</f>
        <v>8.9044543882103</v>
      </c>
      <c r="E20" s="29" t="n">
        <f aca="false">Comps!O18</f>
        <v>10.407708413187</v>
      </c>
      <c r="F20" s="29" t="n">
        <f aca="false">Comps!O17</f>
        <v>14.1712752577583</v>
      </c>
      <c r="G20" s="30" t="n">
        <f aca="false">($C$7*Comps!O20-$C$11)/$C$12/$C$14</f>
        <v>1768.89121475482</v>
      </c>
      <c r="H20" s="30" t="n">
        <f aca="false">($C$7*Comps!O18-$C$11)/$C$12/$C$14</f>
        <v>2054.05384898342</v>
      </c>
      <c r="I20" s="30" t="n">
        <f aca="false">($C$7*Comps!O17-$C$11)/$C$12/$C$14</f>
        <v>2767.99082680726</v>
      </c>
    </row>
    <row r="21" customFormat="false" ht="15" hidden="false" customHeight="false" outlineLevel="0" collapsed="false">
      <c r="B21" s="20" t="s">
        <v>61</v>
      </c>
      <c r="C21" s="25" t="n">
        <f aca="false">$C$8</f>
        <v>5284.16028</v>
      </c>
      <c r="D21" s="29" t="n">
        <f aca="false">Comps!P20</f>
        <v>13.0939833856217</v>
      </c>
      <c r="E21" s="29" t="n">
        <f aca="false">Comps!P18</f>
        <v>15.2653803818995</v>
      </c>
      <c r="F21" s="29" t="n">
        <f aca="false">Comps!P17</f>
        <v>21.0876261209874</v>
      </c>
      <c r="G21" s="30" t="n">
        <f aca="false">$C$8*Comps!P20/$C$12/$C$14</f>
        <v>1827.03335381211</v>
      </c>
      <c r="H21" s="30" t="n">
        <f aca="false">$C$8*Comps!P18/$C$12/$C$14</f>
        <v>2130.01332711216</v>
      </c>
      <c r="I21" s="30" t="n">
        <f aca="false">$C$8*Comps!P17/$C$12/$C$14</f>
        <v>2942.40454879988</v>
      </c>
    </row>
    <row r="22" customFormat="false" ht="15" hidden="false" customHeight="false" outlineLevel="0" collapsed="false">
      <c r="B22" s="20" t="s">
        <v>62</v>
      </c>
      <c r="C22" s="25" t="n">
        <f aca="false">$C$9</f>
        <v>30454.8404096912</v>
      </c>
      <c r="D22" s="29" t="n">
        <f aca="false">Comps!S20</f>
        <v>1.44533012934791</v>
      </c>
      <c r="E22" s="29" t="n">
        <f aca="false">Comps!S18</f>
        <v>1.78966179160664</v>
      </c>
      <c r="F22" s="29" t="n">
        <f aca="false">Comps!S17</f>
        <v>2.07113870009618</v>
      </c>
      <c r="G22" s="30" t="n">
        <f aca="false">($C$9*Comps!S20-$C$11)/$C$12/$C$14</f>
        <v>1242.05410227461</v>
      </c>
      <c r="H22" s="30" t="n">
        <f aca="false">($C$9*Comps!S18-$C$11)/$C$12/$C$14</f>
        <v>1518.95986575992</v>
      </c>
      <c r="I22" s="30" t="n">
        <f aca="false">($C$9*Comps!S17-$C$11)/$C$12/$C$14</f>
        <v>1745.31888757481</v>
      </c>
    </row>
    <row r="23" customFormat="false" ht="15" hidden="false" customHeight="false" outlineLevel="0" collapsed="false">
      <c r="B23" s="20" t="s">
        <v>63</v>
      </c>
      <c r="C23" s="25" t="n">
        <f aca="false">$C$10</f>
        <v>155.08232</v>
      </c>
      <c r="D23" s="29" t="n">
        <f aca="false">Comps!T20</f>
        <v>12.0846401221505</v>
      </c>
      <c r="E23" s="29" t="n">
        <f aca="false">Comps!T18</f>
        <v>13.3620921053012</v>
      </c>
      <c r="F23" s="29" t="n">
        <f aca="false">Comps!T17</f>
        <v>17.3388000133134</v>
      </c>
      <c r="G23" s="30" t="n">
        <f aca="false">$C$10*Comps!T20</f>
        <v>1874.11402650819</v>
      </c>
      <c r="H23" s="30" t="n">
        <f aca="false">$C$10*Comps!T18</f>
        <v>2072.22424374379</v>
      </c>
      <c r="I23" s="30" t="n">
        <f aca="false">$C$10*Comps!T17</f>
        <v>2688.94133208067</v>
      </c>
    </row>
    <row r="24" customFormat="false" ht="15" hidden="false" customHeight="false" outlineLevel="0" collapsed="false">
      <c r="B24" s="31" t="s">
        <v>64</v>
      </c>
      <c r="G24" s="32" t="n">
        <f aca="false">MIN(G18:I23)</f>
        <v>1215.31042865337</v>
      </c>
      <c r="H24" s="32" t="n">
        <f aca="false">MEDIAN(G18:I23)</f>
        <v>1848.20538493449</v>
      </c>
      <c r="I24" s="32" t="n">
        <f aca="false">MAX(G18:I23)</f>
        <v>2942.40454879988</v>
      </c>
    </row>
    <row r="25" customFormat="false" ht="15" hidden="false" customHeight="false" outlineLevel="0" collapsed="false">
      <c r="B25" s="20" t="s">
        <v>65</v>
      </c>
      <c r="H25" s="25" t="n">
        <f aca="false">$C$13</f>
        <v>2200.8</v>
      </c>
    </row>
    <row r="26" customFormat="false" ht="15" hidden="false" customHeight="false" outlineLevel="0" collapsed="false">
      <c r="B26" s="20" t="s">
        <v>66</v>
      </c>
      <c r="H26" s="33" t="n">
        <f aca="false">H24/H25-1</f>
        <v>-0.160212020658627</v>
      </c>
    </row>
    <row r="28" customFormat="false" ht="15.75" hidden="false" customHeight="true" outlineLevel="0" collapsed="false">
      <c r="B28" s="24" t="s">
        <v>67</v>
      </c>
      <c r="C28" s="1"/>
      <c r="D28" s="1"/>
      <c r="E28" s="1"/>
      <c r="F28" s="1"/>
      <c r="G28" s="1"/>
      <c r="H28" s="1"/>
      <c r="I28" s="1"/>
    </row>
    <row r="29" customFormat="false" ht="31.5" hidden="false" customHeight="true" outlineLevel="0" collapsed="false">
      <c r="B29" s="8" t="s">
        <v>68</v>
      </c>
      <c r="C29" s="8"/>
      <c r="D29" s="8"/>
      <c r="E29" s="8"/>
      <c r="F29" s="8"/>
      <c r="G29" s="8"/>
      <c r="H29" s="8"/>
      <c r="I29" s="8"/>
    </row>
    <row r="30" customFormat="false" ht="31.5" hidden="false" customHeight="true" outlineLevel="0" collapsed="false">
      <c r="B30" s="8" t="s">
        <v>69</v>
      </c>
      <c r="C30" s="8"/>
      <c r="D30" s="8"/>
      <c r="E30" s="8"/>
      <c r="F30" s="8"/>
      <c r="G30" s="8"/>
      <c r="H30" s="8"/>
      <c r="I30" s="8"/>
    </row>
    <row r="31" customFormat="false" ht="31.5" hidden="false" customHeight="true" outlineLevel="0" collapsed="false">
      <c r="B31" s="8" t="s">
        <v>70</v>
      </c>
      <c r="C31" s="8"/>
      <c r="D31" s="8"/>
      <c r="E31" s="8"/>
      <c r="F31" s="8"/>
      <c r="G31" s="8"/>
      <c r="H31" s="8"/>
      <c r="I31" s="8"/>
    </row>
    <row r="32" customFormat="false" ht="31.5" hidden="false" customHeight="true" outlineLevel="0" collapsed="false">
      <c r="B32" s="8" t="s">
        <v>71</v>
      </c>
      <c r="C32" s="8"/>
      <c r="D32" s="8"/>
      <c r="E32" s="8"/>
      <c r="F32" s="8"/>
      <c r="G32" s="8"/>
      <c r="H32" s="8"/>
      <c r="I32" s="8"/>
    </row>
  </sheetData>
  <mergeCells count="4">
    <mergeCell ref="B29:I29"/>
    <mergeCell ref="B30:I30"/>
    <mergeCell ref="B31:I31"/>
    <mergeCell ref="B32:I3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Trading Comparables&amp;R&amp;"Arial,Regular"&amp;8Summary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5" min="3" style="0" width="12"/>
    <col collapsed="false" customWidth="true" hidden="false" outlineLevel="0" max="6" min="6" style="0" width="70"/>
  </cols>
  <sheetData>
    <row r="1" customFormat="false" ht="30" hidden="false" customHeight="true" outlineLevel="0" collapsed="false">
      <c r="A1" s="1"/>
      <c r="B1" s="21" t="s">
        <v>35</v>
      </c>
      <c r="C1" s="1"/>
      <c r="D1" s="1"/>
      <c r="E1" s="1"/>
      <c r="F1" s="22" t="s">
        <v>36</v>
      </c>
    </row>
    <row r="2" customFormat="false" ht="18" hidden="false" customHeight="true" outlineLevel="0" collapsed="false">
      <c r="A2" s="1"/>
      <c r="B2" s="23" t="s">
        <v>72</v>
      </c>
      <c r="C2" s="1"/>
      <c r="D2" s="1"/>
      <c r="E2" s="1"/>
      <c r="F2" s="1"/>
    </row>
    <row r="4" customFormat="false" ht="15.75" hidden="false" customHeight="true" outlineLevel="0" collapsed="false">
      <c r="B4" s="24" t="s">
        <v>73</v>
      </c>
      <c r="C4" s="1"/>
      <c r="D4" s="1"/>
      <c r="E4" s="1"/>
      <c r="F4" s="1"/>
    </row>
    <row r="5" customFormat="false" ht="15" hidden="false" customHeight="false" outlineLevel="0" collapsed="false">
      <c r="B5" s="20" t="s">
        <v>74</v>
      </c>
      <c r="C5" s="34" t="n">
        <v>0.010467</v>
      </c>
      <c r="F5" s="5" t="s">
        <v>75</v>
      </c>
    </row>
    <row r="6" customFormat="false" ht="15" hidden="false" customHeight="false" outlineLevel="0" collapsed="false">
      <c r="B6" s="20" t="s">
        <v>76</v>
      </c>
      <c r="C6" s="34" t="n">
        <v>1</v>
      </c>
      <c r="F6" s="5"/>
    </row>
    <row r="7" customFormat="false" ht="15" hidden="false" customHeight="false" outlineLevel="0" collapsed="false">
      <c r="B7" s="20" t="s">
        <v>77</v>
      </c>
      <c r="C7" s="15" t="s">
        <v>78</v>
      </c>
      <c r="F7" s="5" t="s">
        <v>79</v>
      </c>
    </row>
    <row r="8" customFormat="false" ht="15" hidden="false" customHeight="false" outlineLevel="0" collapsed="false">
      <c r="B8" s="20" t="s">
        <v>80</v>
      </c>
      <c r="C8" s="15" t="s">
        <v>81</v>
      </c>
      <c r="F8" s="5" t="s">
        <v>82</v>
      </c>
    </row>
    <row r="9" customFormat="false" ht="15" hidden="false" customHeight="false" outlineLevel="0" collapsed="false">
      <c r="B9" s="20" t="s">
        <v>83</v>
      </c>
      <c r="C9" s="15" t="s">
        <v>84</v>
      </c>
      <c r="F9" s="5"/>
    </row>
    <row r="10" customFormat="false" ht="15" hidden="false" customHeight="false" outlineLevel="0" collapsed="false">
      <c r="B10" s="20" t="s">
        <v>85</v>
      </c>
      <c r="C10" s="35" t="n">
        <v>5000</v>
      </c>
      <c r="F10" s="5" t="s">
        <v>86</v>
      </c>
    </row>
    <row r="12" customFormat="false" ht="15.75" hidden="false" customHeight="true" outlineLevel="0" collapsed="false">
      <c r="B12" s="24" t="s">
        <v>87</v>
      </c>
      <c r="C12" s="1"/>
      <c r="D12" s="1"/>
      <c r="E12" s="1"/>
      <c r="F12" s="1"/>
    </row>
    <row r="13" customFormat="false" ht="42" hidden="false" customHeight="true" outlineLevel="0" collapsed="false">
      <c r="B13" s="31" t="s">
        <v>88</v>
      </c>
      <c r="C13" s="8" t="s">
        <v>89</v>
      </c>
      <c r="D13" s="8"/>
      <c r="E13" s="8"/>
      <c r="F13" s="8"/>
    </row>
    <row r="14" customFormat="false" ht="42" hidden="false" customHeight="true" outlineLevel="0" collapsed="false">
      <c r="B14" s="31" t="s">
        <v>90</v>
      </c>
      <c r="C14" s="8" t="s">
        <v>91</v>
      </c>
      <c r="D14" s="8"/>
      <c r="E14" s="8"/>
      <c r="F14" s="8"/>
    </row>
    <row r="15" customFormat="false" ht="42" hidden="false" customHeight="true" outlineLevel="0" collapsed="false">
      <c r="B15" s="31" t="s">
        <v>92</v>
      </c>
      <c r="C15" s="8" t="s">
        <v>93</v>
      </c>
      <c r="D15" s="8"/>
      <c r="E15" s="8"/>
      <c r="F15" s="8"/>
    </row>
    <row r="16" customFormat="false" ht="42" hidden="false" customHeight="true" outlineLevel="0" collapsed="false">
      <c r="B16" s="31" t="s">
        <v>94</v>
      </c>
      <c r="C16" s="8" t="s">
        <v>95</v>
      </c>
      <c r="D16" s="8"/>
      <c r="E16" s="8"/>
      <c r="F16" s="8"/>
    </row>
  </sheetData>
  <mergeCells count="4">
    <mergeCell ref="C13:F13"/>
    <mergeCell ref="C14:F14"/>
    <mergeCell ref="C15:F15"/>
    <mergeCell ref="C16:F16"/>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Trading Comparables&amp;R&amp;"Arial,Regular"&amp;8Inputs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6"/>
    <col collapsed="false" customWidth="true" hidden="false" outlineLevel="0" max="22" min="3" style="0" width="13"/>
  </cols>
  <sheetData>
    <row r="1" customFormat="false" ht="30" hidden="false" customHeight="true" outlineLevel="0" collapsed="false">
      <c r="A1" s="1"/>
      <c r="B1" s="21" t="s">
        <v>35</v>
      </c>
      <c r="C1" s="1"/>
      <c r="D1" s="1"/>
      <c r="E1" s="1"/>
      <c r="F1" s="1"/>
      <c r="G1" s="1"/>
      <c r="H1" s="1"/>
      <c r="I1" s="1"/>
      <c r="J1" s="1"/>
      <c r="K1" s="1"/>
      <c r="L1" s="1"/>
      <c r="M1" s="1"/>
      <c r="N1" s="1"/>
      <c r="O1" s="1"/>
      <c r="P1" s="1"/>
      <c r="Q1" s="1"/>
      <c r="R1" s="1"/>
      <c r="S1" s="1"/>
      <c r="T1" s="1"/>
      <c r="U1" s="1"/>
      <c r="V1" s="22" t="s">
        <v>36</v>
      </c>
    </row>
    <row r="2" customFormat="false" ht="18" hidden="false" customHeight="true" outlineLevel="0" collapsed="false">
      <c r="A2" s="1"/>
      <c r="B2" s="23" t="s">
        <v>96</v>
      </c>
      <c r="C2" s="1"/>
      <c r="D2" s="1"/>
      <c r="E2" s="1"/>
      <c r="F2" s="1"/>
      <c r="G2" s="1"/>
      <c r="H2" s="1"/>
      <c r="I2" s="1"/>
      <c r="J2" s="1"/>
      <c r="K2" s="1"/>
      <c r="L2" s="1"/>
      <c r="M2" s="1"/>
      <c r="N2" s="1"/>
      <c r="O2" s="1"/>
      <c r="P2" s="1"/>
      <c r="Q2" s="1"/>
      <c r="R2" s="1"/>
      <c r="S2" s="1"/>
      <c r="T2" s="1"/>
      <c r="U2" s="1"/>
      <c r="V2" s="1"/>
    </row>
    <row r="4" customFormat="false" ht="42" hidden="false" customHeight="true" outlineLevel="0" collapsed="false">
      <c r="B4" s="28" t="s">
        <v>97</v>
      </c>
      <c r="C4" s="28" t="s">
        <v>98</v>
      </c>
      <c r="D4" s="28" t="s">
        <v>99</v>
      </c>
      <c r="E4" s="28" t="s">
        <v>100</v>
      </c>
      <c r="F4" s="28" t="s">
        <v>101</v>
      </c>
      <c r="G4" s="28" t="s">
        <v>46</v>
      </c>
      <c r="H4" s="28" t="s">
        <v>102</v>
      </c>
      <c r="I4" s="28" t="s">
        <v>103</v>
      </c>
      <c r="J4" s="28" t="s">
        <v>104</v>
      </c>
      <c r="K4" s="28" t="s">
        <v>105</v>
      </c>
      <c r="L4" s="28" t="s">
        <v>106</v>
      </c>
      <c r="M4" s="28" t="s">
        <v>107</v>
      </c>
      <c r="N4" s="28" t="s">
        <v>108</v>
      </c>
      <c r="O4" s="28" t="s">
        <v>109</v>
      </c>
      <c r="P4" s="28" t="s">
        <v>110</v>
      </c>
      <c r="Q4" s="28" t="s">
        <v>111</v>
      </c>
      <c r="R4" s="28" t="s">
        <v>112</v>
      </c>
      <c r="S4" s="28" t="s">
        <v>113</v>
      </c>
      <c r="T4" s="28" t="s">
        <v>114</v>
      </c>
      <c r="U4" s="28" t="s">
        <v>115</v>
      </c>
    </row>
    <row r="5" customFormat="false" ht="15" hidden="false" customHeight="false" outlineLevel="0" collapsed="false">
      <c r="A5" s="5" t="s">
        <v>78</v>
      </c>
      <c r="B5" s="20" t="s">
        <v>1</v>
      </c>
      <c r="C5" s="20" t="s">
        <v>116</v>
      </c>
      <c r="D5" s="15" t="s">
        <v>117</v>
      </c>
      <c r="E5" s="15" t="s">
        <v>117</v>
      </c>
      <c r="F5" s="36" t="n">
        <v>2200.8</v>
      </c>
      <c r="G5" s="35" t="n">
        <v>3618.087518</v>
      </c>
      <c r="H5" s="35" t="n">
        <v>7962687.0096144</v>
      </c>
      <c r="I5" s="35" t="n">
        <v>112830</v>
      </c>
      <c r="J5" s="35" t="n">
        <v>413730</v>
      </c>
      <c r="K5" s="35" t="n">
        <v>12380</v>
      </c>
      <c r="L5" s="35" t="n">
        <v>2734970</v>
      </c>
      <c r="M5" s="35" t="n">
        <v>740200</v>
      </c>
      <c r="N5" s="35" t="n">
        <v>686340</v>
      </c>
      <c r="O5" s="35" t="n">
        <v>504840</v>
      </c>
      <c r="P5" s="15" t="s">
        <v>118</v>
      </c>
      <c r="Q5" s="20" t="s">
        <v>84</v>
      </c>
      <c r="R5" s="35" t="n">
        <v>2909605.46572</v>
      </c>
      <c r="S5" s="35" t="n">
        <v>3038222.19573</v>
      </c>
      <c r="T5" s="36" t="n">
        <v>155.08232</v>
      </c>
      <c r="U5" s="36" t="n">
        <v>162.4991</v>
      </c>
    </row>
    <row r="6" customFormat="false" ht="15" hidden="false" customHeight="false" outlineLevel="0" collapsed="false">
      <c r="A6" s="5" t="s">
        <v>119</v>
      </c>
      <c r="B6" s="20" t="s">
        <v>120</v>
      </c>
      <c r="C6" s="20" t="s">
        <v>116</v>
      </c>
      <c r="D6" s="15" t="s">
        <v>117</v>
      </c>
      <c r="E6" s="15" t="s">
        <v>121</v>
      </c>
      <c r="F6" s="36" t="n">
        <v>1037.7</v>
      </c>
      <c r="G6" s="35" t="n">
        <v>4050.299443</v>
      </c>
      <c r="H6" s="35" t="n">
        <v>4202995.7320011</v>
      </c>
      <c r="I6" s="35" t="n">
        <v>923</v>
      </c>
      <c r="J6" s="35" t="n">
        <v>3174</v>
      </c>
      <c r="K6" s="35" t="n">
        <v>55</v>
      </c>
      <c r="L6" s="35" t="n">
        <v>20297</v>
      </c>
      <c r="M6" s="35" t="n">
        <v>5129</v>
      </c>
      <c r="N6" s="35" t="n">
        <v>4579</v>
      </c>
      <c r="O6" s="35" t="n">
        <v>3324</v>
      </c>
      <c r="P6" s="15" t="s">
        <v>118</v>
      </c>
      <c r="Q6" s="20" t="s">
        <v>84</v>
      </c>
      <c r="R6" s="35" t="n">
        <v>1948595.03608</v>
      </c>
      <c r="S6" s="35" t="n">
        <v>2022423.46757</v>
      </c>
      <c r="T6" s="36" t="n">
        <v>76.47616</v>
      </c>
      <c r="U6" s="36" t="n">
        <v>79.9959</v>
      </c>
    </row>
    <row r="7" customFormat="false" ht="15" hidden="false" customHeight="false" outlineLevel="0" collapsed="false">
      <c r="A7" s="5" t="s">
        <v>122</v>
      </c>
      <c r="B7" s="20" t="s">
        <v>123</v>
      </c>
      <c r="C7" s="20" t="s">
        <v>116</v>
      </c>
      <c r="D7" s="15" t="s">
        <v>117</v>
      </c>
      <c r="E7" s="15" t="s">
        <v>117</v>
      </c>
      <c r="F7" s="36" t="n">
        <v>1206.1</v>
      </c>
      <c r="G7" s="35" t="n">
        <v>2705.766714</v>
      </c>
      <c r="H7" s="35" t="n">
        <v>3263425.2337554</v>
      </c>
      <c r="I7" s="35" t="n">
        <v>52150</v>
      </c>
      <c r="J7" s="35" t="n">
        <v>306150</v>
      </c>
      <c r="K7" s="35" t="n">
        <v>320</v>
      </c>
      <c r="L7" s="35" t="n">
        <v>1327810</v>
      </c>
      <c r="M7" s="35" t="n">
        <v>275970</v>
      </c>
      <c r="N7" s="35" t="n">
        <v>232460</v>
      </c>
      <c r="O7" s="35" t="n">
        <v>170310</v>
      </c>
      <c r="P7" s="15" t="s">
        <v>118</v>
      </c>
      <c r="Q7" s="20" t="s">
        <v>84</v>
      </c>
      <c r="R7" s="35" t="n">
        <v>1422895.86303</v>
      </c>
      <c r="S7" s="35" t="n">
        <v>1508629.62335</v>
      </c>
      <c r="T7" s="36" t="n">
        <v>73.22011</v>
      </c>
      <c r="U7" s="36" t="n">
        <v>80.10137</v>
      </c>
    </row>
    <row r="8" customFormat="false" ht="15" hidden="false" customHeight="false" outlineLevel="0" collapsed="false">
      <c r="A8" s="5" t="s">
        <v>124</v>
      </c>
      <c r="B8" s="20" t="s">
        <v>125</v>
      </c>
      <c r="C8" s="20" t="s">
        <v>116</v>
      </c>
      <c r="D8" s="15" t="s">
        <v>117</v>
      </c>
      <c r="E8" s="15" t="s">
        <v>117</v>
      </c>
      <c r="F8" s="36" t="n">
        <v>167.4</v>
      </c>
      <c r="G8" s="35" t="n">
        <v>9893.029883</v>
      </c>
      <c r="H8" s="35" t="n">
        <v>1656093.2024142</v>
      </c>
      <c r="I8" s="35" t="n">
        <v>212822</v>
      </c>
      <c r="J8" s="35" t="n">
        <v>395499</v>
      </c>
      <c r="K8" s="35" t="n">
        <v>2059</v>
      </c>
      <c r="L8" s="35" t="n">
        <v>949680</v>
      </c>
      <c r="M8" s="35" t="n">
        <v>212572</v>
      </c>
      <c r="N8" s="35" t="n">
        <v>182276</v>
      </c>
      <c r="O8" s="35" t="n">
        <v>132190</v>
      </c>
      <c r="P8" s="15" t="s">
        <v>118</v>
      </c>
      <c r="Q8" s="20" t="s">
        <v>84</v>
      </c>
      <c r="R8" s="35" t="n">
        <v>987540.02736</v>
      </c>
      <c r="S8" s="35" t="n">
        <v>1017460.87388</v>
      </c>
      <c r="T8" s="36" t="n">
        <v>13.31437</v>
      </c>
      <c r="U8" s="36" t="n">
        <v>13.8994</v>
      </c>
    </row>
    <row r="9" customFormat="false" ht="15" hidden="false" customHeight="false" outlineLevel="0" collapsed="false">
      <c r="A9" s="5" t="s">
        <v>126</v>
      </c>
      <c r="B9" s="20" t="s">
        <v>127</v>
      </c>
      <c r="C9" s="20" t="s">
        <v>128</v>
      </c>
      <c r="D9" s="15" t="s">
        <v>117</v>
      </c>
      <c r="E9" s="15" t="s">
        <v>117</v>
      </c>
      <c r="F9" s="36" t="n">
        <v>1541</v>
      </c>
      <c r="G9" s="35" t="n">
        <v>885.898127</v>
      </c>
      <c r="H9" s="35" t="n">
        <v>1365169.013707</v>
      </c>
      <c r="I9" s="35" t="n">
        <v>21862</v>
      </c>
      <c r="J9" s="35" t="n">
        <v>84255</v>
      </c>
      <c r="K9" s="35" t="n">
        <v>4616</v>
      </c>
      <c r="L9" s="35" t="n">
        <v>585324</v>
      </c>
      <c r="M9" s="35" t="n">
        <v>92187</v>
      </c>
      <c r="N9" s="35" t="n">
        <v>73272</v>
      </c>
      <c r="O9" s="35" t="n">
        <v>50815</v>
      </c>
      <c r="P9" s="15" t="s">
        <v>118</v>
      </c>
      <c r="Q9" s="20" t="s">
        <v>84</v>
      </c>
      <c r="R9" s="35" t="n">
        <v>635754.01483</v>
      </c>
      <c r="S9" s="35" t="n">
        <v>671384.56991</v>
      </c>
      <c r="T9" s="36" t="n">
        <v>77.28786</v>
      </c>
      <c r="U9" s="36" t="n">
        <v>87.10679</v>
      </c>
    </row>
    <row r="10" customFormat="false" ht="15" hidden="false" customHeight="false" outlineLevel="0" collapsed="false">
      <c r="A10" s="5" t="s">
        <v>129</v>
      </c>
      <c r="B10" s="20" t="s">
        <v>130</v>
      </c>
      <c r="C10" s="20" t="s">
        <v>128</v>
      </c>
      <c r="D10" s="15" t="s">
        <v>117</v>
      </c>
      <c r="E10" s="15" t="s">
        <v>117</v>
      </c>
      <c r="F10" s="36" t="n">
        <v>5516</v>
      </c>
      <c r="G10" s="35" t="n">
        <v>156.231044</v>
      </c>
      <c r="H10" s="35" t="n">
        <v>861770.438704</v>
      </c>
      <c r="I10" s="35" t="n">
        <v>4774.48</v>
      </c>
      <c r="J10" s="35" t="n">
        <v>20254.4</v>
      </c>
      <c r="K10" s="35" t="n">
        <v>0</v>
      </c>
      <c r="L10" s="35" t="n">
        <v>154709.56</v>
      </c>
      <c r="M10" s="35" t="n">
        <v>29195.17</v>
      </c>
      <c r="N10" s="35" t="n">
        <v>25013.27</v>
      </c>
      <c r="O10" s="35" t="n">
        <v>18766.93</v>
      </c>
      <c r="P10" s="15" t="s">
        <v>118</v>
      </c>
      <c r="Q10" s="20" t="s">
        <v>84</v>
      </c>
      <c r="R10" s="35" t="n">
        <v>183998.44046</v>
      </c>
      <c r="S10" s="35" t="n">
        <v>212788.24555</v>
      </c>
      <c r="T10" s="36" t="n">
        <v>144.30505</v>
      </c>
      <c r="U10" s="36" t="n">
        <v>176.86774</v>
      </c>
    </row>
    <row r="11" customFormat="false" ht="15" hidden="false" customHeight="false" outlineLevel="0" collapsed="false">
      <c r="A11" s="5" t="s">
        <v>131</v>
      </c>
      <c r="B11" s="20" t="s">
        <v>132</v>
      </c>
      <c r="C11" s="20" t="s">
        <v>133</v>
      </c>
      <c r="D11" s="15" t="s">
        <v>121</v>
      </c>
      <c r="E11" s="15" t="s">
        <v>121</v>
      </c>
      <c r="F11" s="36" t="n">
        <v>188.600006103516</v>
      </c>
      <c r="G11" s="35" t="n">
        <v>611.942109</v>
      </c>
      <c r="H11" s="35" t="n">
        <v>115412.285492398</v>
      </c>
      <c r="I11" s="35" t="n">
        <v>8388.77</v>
      </c>
      <c r="J11" s="35" t="n">
        <v>10171.567</v>
      </c>
      <c r="K11" s="35" t="n">
        <v>1617.147</v>
      </c>
      <c r="L11" s="35" t="n">
        <v>73100.595</v>
      </c>
      <c r="M11" s="35" t="n">
        <v>12330.716</v>
      </c>
      <c r="N11" s="35" t="n">
        <v>10915.206</v>
      </c>
      <c r="O11" s="35" t="n">
        <v>7789.752</v>
      </c>
      <c r="P11" s="15" t="s">
        <v>134</v>
      </c>
      <c r="Q11" s="20" t="s">
        <v>135</v>
      </c>
      <c r="R11" s="35" t="n">
        <v>73566.22753</v>
      </c>
      <c r="S11" s="35" t="n">
        <v>76588.902</v>
      </c>
      <c r="T11" s="36" t="n">
        <v>13.86349</v>
      </c>
      <c r="U11" s="36" t="n">
        <v>14.67784</v>
      </c>
    </row>
    <row r="12" customFormat="false" ht="15" hidden="false" customHeight="false" outlineLevel="0" collapsed="false">
      <c r="A12" s="5" t="s">
        <v>136</v>
      </c>
      <c r="B12" s="20" t="s">
        <v>137</v>
      </c>
      <c r="C12" s="20" t="s">
        <v>133</v>
      </c>
      <c r="D12" s="15" t="s">
        <v>121</v>
      </c>
      <c r="E12" s="15" t="s">
        <v>121</v>
      </c>
      <c r="F12" s="36" t="n">
        <v>62.4500007629395</v>
      </c>
      <c r="G12" s="35" t="n">
        <v>450.444209</v>
      </c>
      <c r="H12" s="35" t="n">
        <v>28130.2411957117</v>
      </c>
      <c r="I12" s="35" t="n">
        <v>2094</v>
      </c>
      <c r="J12" s="35" t="n">
        <v>1051</v>
      </c>
      <c r="K12" s="35" t="n">
        <v>0</v>
      </c>
      <c r="L12" s="35" t="n">
        <v>21642</v>
      </c>
      <c r="M12" s="35" t="n">
        <v>4102</v>
      </c>
      <c r="N12" s="35" t="n">
        <v>3543</v>
      </c>
      <c r="O12" s="35" t="n">
        <v>2220</v>
      </c>
      <c r="P12" s="15" t="s">
        <v>118</v>
      </c>
      <c r="Q12" s="20" t="s">
        <v>138</v>
      </c>
      <c r="R12" s="35" t="n">
        <v>22196.69372</v>
      </c>
      <c r="S12" s="35" t="n">
        <v>23254.15239</v>
      </c>
      <c r="T12" s="36" t="n">
        <v>5.73656</v>
      </c>
      <c r="U12" s="36" t="n">
        <v>6.32016</v>
      </c>
    </row>
    <row r="13" customFormat="false" ht="15" hidden="false" customHeight="false" outlineLevel="0" collapsed="false">
      <c r="A13" s="5" t="s">
        <v>139</v>
      </c>
      <c r="B13" s="20" t="s">
        <v>140</v>
      </c>
      <c r="C13" s="20" t="s">
        <v>133</v>
      </c>
      <c r="D13" s="15" t="s">
        <v>121</v>
      </c>
      <c r="E13" s="15" t="s">
        <v>121</v>
      </c>
      <c r="F13" s="36" t="n">
        <v>122.360000610352</v>
      </c>
      <c r="G13" s="35" t="n">
        <v>51.586981</v>
      </c>
      <c r="H13" s="35" t="n">
        <v>6312.1830266462</v>
      </c>
      <c r="I13" s="35" t="n">
        <v>152.243</v>
      </c>
      <c r="J13" s="35" t="n">
        <v>789.397</v>
      </c>
      <c r="K13" s="35" t="n">
        <v>0.582</v>
      </c>
      <c r="L13" s="35" t="n">
        <v>5616.749</v>
      </c>
      <c r="M13" s="35" t="n">
        <v>720.483</v>
      </c>
      <c r="N13" s="35" t="n">
        <v>553.337</v>
      </c>
      <c r="O13" s="35" t="n">
        <v>401.67</v>
      </c>
      <c r="P13" s="15" t="s">
        <v>118</v>
      </c>
      <c r="Q13" s="20" t="s">
        <v>138</v>
      </c>
      <c r="R13" s="35" t="n">
        <v>5656.9457</v>
      </c>
      <c r="S13" s="35" t="n">
        <v>5857.75197</v>
      </c>
      <c r="T13" s="36" t="n">
        <v>13.15097</v>
      </c>
      <c r="U13" s="36" t="n">
        <v>14.06159</v>
      </c>
    </row>
    <row r="15" customFormat="false" ht="30" hidden="false" customHeight="true" outlineLevel="0" collapsed="false">
      <c r="B15" s="19" t="s">
        <v>141</v>
      </c>
      <c r="C15" s="19"/>
      <c r="D15" s="19"/>
      <c r="E15" s="19"/>
      <c r="F15" s="19"/>
      <c r="G15" s="19"/>
      <c r="H15" s="19"/>
      <c r="I15" s="19"/>
      <c r="J15" s="19"/>
      <c r="K15" s="19"/>
      <c r="L15" s="19"/>
      <c r="M15" s="19"/>
      <c r="N15" s="19"/>
      <c r="O15" s="19"/>
      <c r="P15" s="19"/>
      <c r="Q15" s="19"/>
      <c r="R15" s="19"/>
      <c r="S15" s="19"/>
      <c r="T15" s="19"/>
      <c r="U15" s="19"/>
      <c r="V15" s="19"/>
    </row>
  </sheetData>
  <mergeCells count="1">
    <mergeCell ref="B15:V15"/>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Trading Comparables&amp;R&amp;"Arial,Regular"&amp;8Data</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6"/>
    <col collapsed="false" customWidth="true" hidden="false" outlineLevel="0" max="20" min="3" style="0" width="12"/>
  </cols>
  <sheetData>
    <row r="1" customFormat="false" ht="30" hidden="false" customHeight="true" outlineLevel="0" collapsed="false">
      <c r="A1" s="1"/>
      <c r="B1" s="21" t="s">
        <v>35</v>
      </c>
      <c r="C1" s="1"/>
      <c r="D1" s="1"/>
      <c r="E1" s="1"/>
      <c r="F1" s="1"/>
      <c r="G1" s="1"/>
      <c r="H1" s="1"/>
      <c r="I1" s="1"/>
      <c r="J1" s="1"/>
      <c r="K1" s="1"/>
      <c r="L1" s="1"/>
      <c r="M1" s="1"/>
      <c r="N1" s="1"/>
      <c r="O1" s="1"/>
      <c r="P1" s="1"/>
      <c r="Q1" s="1"/>
      <c r="R1" s="1"/>
      <c r="S1" s="1"/>
      <c r="T1" s="22" t="s">
        <v>36</v>
      </c>
    </row>
    <row r="2" customFormat="false" ht="18" hidden="false" customHeight="true" outlineLevel="0" collapsed="false">
      <c r="A2" s="1"/>
      <c r="B2" s="23" t="s">
        <v>142</v>
      </c>
      <c r="C2" s="1"/>
      <c r="D2" s="1"/>
      <c r="E2" s="1"/>
      <c r="F2" s="1"/>
      <c r="G2" s="1"/>
      <c r="H2" s="1"/>
      <c r="I2" s="1"/>
      <c r="J2" s="1"/>
      <c r="K2" s="1"/>
      <c r="L2" s="1"/>
      <c r="M2" s="1"/>
      <c r="N2" s="1"/>
      <c r="O2" s="1"/>
      <c r="P2" s="1"/>
      <c r="Q2" s="1"/>
      <c r="R2" s="1"/>
      <c r="S2" s="1"/>
      <c r="T2" s="1"/>
    </row>
    <row r="4" customFormat="false" ht="42" hidden="false" customHeight="true" outlineLevel="0" collapsed="false">
      <c r="B4" s="28" t="s">
        <v>143</v>
      </c>
      <c r="C4" s="28" t="s">
        <v>98</v>
      </c>
      <c r="D4" s="28" t="s">
        <v>144</v>
      </c>
      <c r="E4" s="28" t="s">
        <v>145</v>
      </c>
      <c r="F4" s="28" t="s">
        <v>146</v>
      </c>
      <c r="G4" s="28" t="s">
        <v>39</v>
      </c>
      <c r="H4" s="28" t="s">
        <v>40</v>
      </c>
      <c r="I4" s="28" t="s">
        <v>41</v>
      </c>
      <c r="J4" s="28" t="s">
        <v>147</v>
      </c>
      <c r="K4" s="28" t="s">
        <v>148</v>
      </c>
      <c r="L4" s="28" t="s">
        <v>149</v>
      </c>
      <c r="M4" s="28" t="s">
        <v>150</v>
      </c>
      <c r="N4" s="28" t="s">
        <v>151</v>
      </c>
      <c r="O4" s="28" t="s">
        <v>152</v>
      </c>
      <c r="P4" s="28" t="s">
        <v>61</v>
      </c>
      <c r="Q4" s="28" t="s">
        <v>153</v>
      </c>
      <c r="R4" s="28" t="s">
        <v>154</v>
      </c>
      <c r="S4" s="28" t="s">
        <v>155</v>
      </c>
      <c r="T4" s="28" t="s">
        <v>156</v>
      </c>
    </row>
    <row r="5" customFormat="false" ht="15" hidden="false" customHeight="false" outlineLevel="0" collapsed="false">
      <c r="B5" s="37" t="str">
        <f aca="false">Data!$B$5</f>
        <v>Tata Consultancy Services</v>
      </c>
      <c r="C5" s="37" t="str">
        <f aca="false">Data!$C$5</f>
        <v>India large-cap</v>
      </c>
      <c r="D5" s="38" t="n">
        <f aca="false">Data!$H$5*IF(Data!$D$5="INR",Inputs!$C$5,1)</f>
        <v>83345.4449296339</v>
      </c>
      <c r="E5" s="38" t="n">
        <f aca="false">(Data!$I$5+Data!$K$5-Data!$J$5)*IF(Data!$E$5="INR",Inputs!$C$5,1)</f>
        <v>-3019.93884</v>
      </c>
      <c r="F5" s="38" t="n">
        <f aca="false">D5+E5</f>
        <v>80325.5060896339</v>
      </c>
      <c r="G5" s="38" t="n">
        <f aca="false">Data!$L$5*IF(Data!$E$5="INR",Inputs!$C$5,1)</f>
        <v>28626.93099</v>
      </c>
      <c r="H5" s="38" t="n">
        <f aca="false">Data!$M$5*IF(Data!$E$5="INR",Inputs!$C$5,1)</f>
        <v>7747.6734</v>
      </c>
      <c r="I5" s="38" t="n">
        <f aca="false">Data!$N$5*IF(Data!$E$5="INR",Inputs!$C$5,1)</f>
        <v>7183.92078</v>
      </c>
      <c r="J5" s="38" t="n">
        <f aca="false">Data!$O$5*IF(Data!$E$5="INR",Inputs!$C$5,1)</f>
        <v>5284.16028</v>
      </c>
      <c r="K5" s="39" t="n">
        <f aca="false">H5/G5</f>
        <v>0.270642822407558</v>
      </c>
      <c r="L5" s="39" t="n">
        <f aca="false">Data!$S$5/Data!$R$5-1</f>
        <v>0.0442041821564192</v>
      </c>
      <c r="M5" s="40" t="n">
        <f aca="false">F5/G5</f>
        <v>2.80594193340856</v>
      </c>
      <c r="N5" s="40" t="n">
        <f aca="false">F5/H5</f>
        <v>10.3676938795115</v>
      </c>
      <c r="O5" s="40" t="n">
        <f aca="false">F5/I5</f>
        <v>11.1812906279896</v>
      </c>
      <c r="P5" s="40" t="n">
        <f aca="false">D5/J5</f>
        <v>15.7726943380366</v>
      </c>
      <c r="Q5" s="38" t="n">
        <f aca="false">(MAX(0,MIN(DATEVALUE(Data!$Q$5),DATEVALUE(Inputs!$C$9))-DATEVALUE(Inputs!$C$8)+1)/365*Data!$R$5+(1-MAX(0,MIN(DATEVALUE(Data!$Q$5),DATEVALUE(Inputs!$C$9))-DATEVALUE(Inputs!$C$8)+1)/365)*Data!$S$5)*IF(Data!$D$5="INR",Inputs!$C$5,1)</f>
        <v>30454.8404096912</v>
      </c>
      <c r="R5" s="41" t="n">
        <f aca="false">MAX(0,MIN(DATEVALUE(Data!$Q$5),DATEVALUE(Inputs!$C$9))-DATEVALUE(Inputs!$C$8)+1)/365*Data!$T$5+(1-MAX(0,MIN(DATEVALUE(Data!$Q$5),DATEVALUE(Inputs!$C$9))-DATEVALUE(Inputs!$C$8)+1)/365)*Data!$U$5</f>
        <v>155.08232</v>
      </c>
      <c r="S5" s="40" t="n">
        <f aca="false">F5/Q5</f>
        <v>2.63752838659017</v>
      </c>
      <c r="T5" s="40" t="n">
        <f aca="false">Data!$F$5/R5</f>
        <v>14.1911727913279</v>
      </c>
    </row>
    <row r="6" customFormat="false" ht="15" hidden="false" customHeight="false" outlineLevel="0" collapsed="false">
      <c r="B6" s="17" t="str">
        <f aca="false">Data!$B$6</f>
        <v>Infosys</v>
      </c>
      <c r="C6" s="17" t="str">
        <f aca="false">Data!$C$6</f>
        <v>India large-cap</v>
      </c>
      <c r="D6" s="30" t="n">
        <f aca="false">Data!$H$6*IF(Data!$D$6="INR",Inputs!$C$5,1)</f>
        <v>43992.7563268555</v>
      </c>
      <c r="E6" s="30" t="n">
        <f aca="false">(Data!$I$6+Data!$K$6-Data!$J$6)*IF(Data!$E$6="INR",Inputs!$C$5,1)</f>
        <v>-2196</v>
      </c>
      <c r="F6" s="30" t="n">
        <f aca="false">D6+E6</f>
        <v>41796.7563268555</v>
      </c>
      <c r="G6" s="30" t="n">
        <f aca="false">Data!$L$6*IF(Data!$E$6="INR",Inputs!$C$5,1)</f>
        <v>20297</v>
      </c>
      <c r="H6" s="30" t="n">
        <f aca="false">Data!$M$6*IF(Data!$E$6="INR",Inputs!$C$5,1)</f>
        <v>5129</v>
      </c>
      <c r="I6" s="30" t="n">
        <f aca="false">Data!$N$6*IF(Data!$E$6="INR",Inputs!$C$5,1)</f>
        <v>4579</v>
      </c>
      <c r="J6" s="30" t="n">
        <f aca="false">Data!$O$6*IF(Data!$E$6="INR",Inputs!$C$5,1)</f>
        <v>3324</v>
      </c>
      <c r="K6" s="33" t="n">
        <f aca="false">H6/G6</f>
        <v>0.252697442971868</v>
      </c>
      <c r="L6" s="33" t="n">
        <f aca="false">Data!$S$6/Data!$R$6-1</f>
        <v>0.0378880322093611</v>
      </c>
      <c r="M6" s="42" t="n">
        <f aca="false">F6/G6</f>
        <v>2.05925783745655</v>
      </c>
      <c r="N6" s="42" t="n">
        <f aca="false">F6/H6</f>
        <v>8.14910437255908</v>
      </c>
      <c r="O6" s="42" t="n">
        <f aca="false">F6/I6</f>
        <v>9.12792232514862</v>
      </c>
      <c r="P6" s="42" t="n">
        <f aca="false">D6/J6</f>
        <v>13.2348845748663</v>
      </c>
      <c r="Q6" s="30" t="n">
        <f aca="false">(MAX(0,MIN(DATEVALUE(Data!$Q$6),DATEVALUE(Inputs!$C$9))-DATEVALUE(Inputs!$C$8)+1)/365*Data!$R$6+(1-MAX(0,MIN(DATEVALUE(Data!$Q$6),DATEVALUE(Inputs!$C$9))-DATEVALUE(Inputs!$C$8)+1)/365)*Data!$S$6)*IF(Data!$D$6="INR",Inputs!$C$5,1)</f>
        <v>20395.9442426494</v>
      </c>
      <c r="R6" s="43" t="n">
        <f aca="false">MAX(0,MIN(DATEVALUE(Data!$Q$6),DATEVALUE(Inputs!$C$9))-DATEVALUE(Inputs!$C$8)+1)/365*Data!$T$6+(1-MAX(0,MIN(DATEVALUE(Data!$Q$6),DATEVALUE(Inputs!$C$9))-DATEVALUE(Inputs!$C$8)+1)/365)*Data!$U$6</f>
        <v>76.47616</v>
      </c>
      <c r="S6" s="42" t="n">
        <f aca="false">F6/Q6</f>
        <v>2.04926802258341</v>
      </c>
      <c r="T6" s="42" t="n">
        <f aca="false">Data!$F$6/R6</f>
        <v>13.5689344234857</v>
      </c>
    </row>
    <row r="7" customFormat="false" ht="15" hidden="false" customHeight="false" outlineLevel="0" collapsed="false">
      <c r="B7" s="17" t="str">
        <f aca="false">Data!$B$7</f>
        <v>HCL Technologies</v>
      </c>
      <c r="C7" s="17" t="str">
        <f aca="false">Data!$C$7</f>
        <v>India large-cap</v>
      </c>
      <c r="D7" s="30" t="n">
        <f aca="false">Data!$H$7*IF(Data!$D$7="INR",Inputs!$C$5,1)</f>
        <v>34158.2719217178</v>
      </c>
      <c r="E7" s="30" t="n">
        <f aca="false">(Data!$I$7+Data!$K$7-Data!$J$7)*IF(Data!$E$7="INR",Inputs!$C$5,1)</f>
        <v>-2655.26856</v>
      </c>
      <c r="F7" s="30" t="n">
        <f aca="false">D7+E7</f>
        <v>31503.0033617178</v>
      </c>
      <c r="G7" s="30" t="n">
        <f aca="false">Data!$L$7*IF(Data!$E$7="INR",Inputs!$C$5,1)</f>
        <v>13898.18727</v>
      </c>
      <c r="H7" s="30" t="n">
        <f aca="false">Data!$M$7*IF(Data!$E$7="INR",Inputs!$C$5,1)</f>
        <v>2888.57799</v>
      </c>
      <c r="I7" s="30" t="n">
        <f aca="false">Data!$N$7*IF(Data!$E$7="INR",Inputs!$C$5,1)</f>
        <v>2433.15882</v>
      </c>
      <c r="J7" s="30" t="n">
        <f aca="false">Data!$O$7*IF(Data!$E$7="INR",Inputs!$C$5,1)</f>
        <v>1782.63477</v>
      </c>
      <c r="K7" s="33" t="n">
        <f aca="false">H7/G7</f>
        <v>0.207838470865561</v>
      </c>
      <c r="L7" s="33" t="n">
        <f aca="false">Data!$S$7/Data!$R$7-1</f>
        <v>0.0602530111637498</v>
      </c>
      <c r="M7" s="42" t="n">
        <f aca="false">F7/G7</f>
        <v>2.26669872478397</v>
      </c>
      <c r="N7" s="42" t="n">
        <f aca="false">F7/H7</f>
        <v>10.9060594765931</v>
      </c>
      <c r="O7" s="42" t="n">
        <f aca="false">F7/I7</f>
        <v>12.9473682945685</v>
      </c>
      <c r="P7" s="42" t="n">
        <f aca="false">D7/J7</f>
        <v>19.1616771402466</v>
      </c>
      <c r="Q7" s="30" t="n">
        <f aca="false">(MAX(0,MIN(DATEVALUE(Data!$Q$7),DATEVALUE(Inputs!$C$9))-DATEVALUE(Inputs!$C$8)+1)/365*Data!$R$7+(1-MAX(0,MIN(DATEVALUE(Data!$Q$7),DATEVALUE(Inputs!$C$9))-DATEVALUE(Inputs!$C$8)+1)/365)*Data!$S$7)*IF(Data!$D$7="INR",Inputs!$C$5,1)</f>
        <v>14893.450998335</v>
      </c>
      <c r="R7" s="43" t="n">
        <f aca="false">MAX(0,MIN(DATEVALUE(Data!$Q$7),DATEVALUE(Inputs!$C$9))-DATEVALUE(Inputs!$C$8)+1)/365*Data!$T$7+(1-MAX(0,MIN(DATEVALUE(Data!$Q$7),DATEVALUE(Inputs!$C$9))-DATEVALUE(Inputs!$C$8)+1)/365)*Data!$U$7</f>
        <v>73.22011</v>
      </c>
      <c r="S7" s="42" t="n">
        <f aca="false">F7/Q7</f>
        <v>2.11522523324108</v>
      </c>
      <c r="T7" s="42" t="n">
        <f aca="false">Data!$F$7/R7</f>
        <v>16.4722505879874</v>
      </c>
    </row>
    <row r="8" customFormat="false" ht="15" hidden="false" customHeight="false" outlineLevel="0" collapsed="false">
      <c r="B8" s="17" t="str">
        <f aca="false">Data!$B$8</f>
        <v>Wipro</v>
      </c>
      <c r="C8" s="17" t="str">
        <f aca="false">Data!$C$8</f>
        <v>India large-cap</v>
      </c>
      <c r="D8" s="30" t="n">
        <f aca="false">Data!$H$8*IF(Data!$D$8="INR",Inputs!$C$5,1)</f>
        <v>17334.3275496694</v>
      </c>
      <c r="E8" s="30" t="n">
        <f aca="false">(Data!$I$8+Data!$K$8-Data!$J$8)*IF(Data!$E$8="INR",Inputs!$C$5,1)</f>
        <v>-1890.528606</v>
      </c>
      <c r="F8" s="30" t="n">
        <f aca="false">D8+E8</f>
        <v>15443.7989436694</v>
      </c>
      <c r="G8" s="30" t="n">
        <f aca="false">Data!$L$8*IF(Data!$E$8="INR",Inputs!$C$5,1)</f>
        <v>9940.30056</v>
      </c>
      <c r="H8" s="30" t="n">
        <f aca="false">Data!$M$8*IF(Data!$E$8="INR",Inputs!$C$5,1)</f>
        <v>2224.991124</v>
      </c>
      <c r="I8" s="30" t="n">
        <f aca="false">Data!$N$8*IF(Data!$E$8="INR",Inputs!$C$5,1)</f>
        <v>1907.882892</v>
      </c>
      <c r="J8" s="30" t="n">
        <f aca="false">Data!$O$8*IF(Data!$E$8="INR",Inputs!$C$5,1)</f>
        <v>1383.63273</v>
      </c>
      <c r="K8" s="33" t="n">
        <f aca="false">H8/G8</f>
        <v>0.223835397186421</v>
      </c>
      <c r="L8" s="33" t="n">
        <f aca="false">Data!$S$8/Data!$R$8-1</f>
        <v>0.0302983632977265</v>
      </c>
      <c r="M8" s="42" t="n">
        <f aca="false">F8/G8</f>
        <v>1.55365512847928</v>
      </c>
      <c r="N8" s="42" t="n">
        <f aca="false">F8/H8</f>
        <v>6.94106092248368</v>
      </c>
      <c r="O8" s="42" t="n">
        <f aca="false">F8/I8</f>
        <v>8.09473108041761</v>
      </c>
      <c r="P8" s="42" t="n">
        <f aca="false">D8/J8</f>
        <v>12.5281277132476</v>
      </c>
      <c r="Q8" s="30" t="n">
        <f aca="false">(MAX(0,MIN(DATEVALUE(Data!$Q$8),DATEVALUE(Inputs!$C$9))-DATEVALUE(Inputs!$C$8)+1)/365*Data!$R$8+(1-MAX(0,MIN(DATEVALUE(Data!$Q$8),DATEVALUE(Inputs!$C$9))-DATEVALUE(Inputs!$C$8)+1)/365)*Data!$S$8)*IF(Data!$D$8="INR",Inputs!$C$5,1)</f>
        <v>10336.5814663771</v>
      </c>
      <c r="R8" s="43" t="n">
        <f aca="false">MAX(0,MIN(DATEVALUE(Data!$Q$8),DATEVALUE(Inputs!$C$9))-DATEVALUE(Inputs!$C$8)+1)/365*Data!$T$8+(1-MAX(0,MIN(DATEVALUE(Data!$Q$8),DATEVALUE(Inputs!$C$9))-DATEVALUE(Inputs!$C$8)+1)/365)*Data!$U$8</f>
        <v>13.31437</v>
      </c>
      <c r="S8" s="42" t="n">
        <f aca="false">F8/Q8</f>
        <v>1.49409154215106</v>
      </c>
      <c r="T8" s="42" t="n">
        <f aca="false">Data!$F$8/R8</f>
        <v>12.5728817811132</v>
      </c>
    </row>
    <row r="9" customFormat="false" ht="15" hidden="false" customHeight="false" outlineLevel="0" collapsed="false">
      <c r="B9" s="17" t="str">
        <f aca="false">Data!$B$9</f>
        <v>Tech Mahindra</v>
      </c>
      <c r="C9" s="17" t="str">
        <f aca="false">Data!$C$9</f>
        <v>India mid-cap</v>
      </c>
      <c r="D9" s="30" t="n">
        <f aca="false">Data!$H$9*IF(Data!$D$9="INR",Inputs!$C$5,1)</f>
        <v>14289.2240664712</v>
      </c>
      <c r="E9" s="30" t="n">
        <f aca="false">(Data!$I$9+Data!$K$9-Data!$J$9)*IF(Data!$E$9="INR",Inputs!$C$5,1)</f>
        <v>-604.751859</v>
      </c>
      <c r="F9" s="30" t="n">
        <f aca="false">D9+E9</f>
        <v>13684.4722074712</v>
      </c>
      <c r="G9" s="30" t="n">
        <f aca="false">Data!$L$9*IF(Data!$E$9="INR",Inputs!$C$5,1)</f>
        <v>6126.586308</v>
      </c>
      <c r="H9" s="30" t="n">
        <f aca="false">Data!$M$9*IF(Data!$E$9="INR",Inputs!$C$5,1)</f>
        <v>964.921329</v>
      </c>
      <c r="I9" s="30" t="n">
        <f aca="false">Data!$N$9*IF(Data!$E$9="INR",Inputs!$C$5,1)</f>
        <v>766.938024</v>
      </c>
      <c r="J9" s="30" t="n">
        <f aca="false">Data!$O$9*IF(Data!$E$9="INR",Inputs!$C$5,1)</f>
        <v>531.880605</v>
      </c>
      <c r="K9" s="33" t="n">
        <f aca="false">H9/G9</f>
        <v>0.157497386063104</v>
      </c>
      <c r="L9" s="33" t="n">
        <f aca="false">Data!$S$9/Data!$R$9-1</f>
        <v>0.056044561652556</v>
      </c>
      <c r="M9" s="42" t="n">
        <f aca="false">F9/G9</f>
        <v>2.2336210606553</v>
      </c>
      <c r="N9" s="42" t="n">
        <f aca="false">F9/H9</f>
        <v>14.1819563898055</v>
      </c>
      <c r="O9" s="42" t="n">
        <f aca="false">F9/I9</f>
        <v>17.8429961473278</v>
      </c>
      <c r="P9" s="42" t="n">
        <f aca="false">D9/J9</f>
        <v>26.8654730632097</v>
      </c>
      <c r="Q9" s="30" t="n">
        <f aca="false">(MAX(0,MIN(DATEVALUE(Data!$Q$9),DATEVALUE(Inputs!$C$9))-DATEVALUE(Inputs!$C$8)+1)/365*Data!$R$9+(1-MAX(0,MIN(DATEVALUE(Data!$Q$9),DATEVALUE(Inputs!$C$9))-DATEVALUE(Inputs!$C$8)+1)/365)*Data!$S$9)*IF(Data!$D$9="INR",Inputs!$C$5,1)</f>
        <v>6654.43727322561</v>
      </c>
      <c r="R9" s="43" t="n">
        <f aca="false">MAX(0,MIN(DATEVALUE(Data!$Q$9),DATEVALUE(Inputs!$C$9))-DATEVALUE(Inputs!$C$8)+1)/365*Data!$T$9+(1-MAX(0,MIN(DATEVALUE(Data!$Q$9),DATEVALUE(Inputs!$C$9))-DATEVALUE(Inputs!$C$8)+1)/365)*Data!$U$9</f>
        <v>77.28786</v>
      </c>
      <c r="S9" s="42" t="n">
        <f aca="false">F9/Q9</f>
        <v>2.05644318904788</v>
      </c>
      <c r="T9" s="42" t="n">
        <f aca="false">Data!$F$9/R9</f>
        <v>19.9384482892915</v>
      </c>
    </row>
    <row r="10" customFormat="false" ht="15" hidden="false" customHeight="false" outlineLevel="0" collapsed="false">
      <c r="B10" s="17" t="str">
        <f aca="false">Data!$B$10</f>
        <v>Persistent Systems</v>
      </c>
      <c r="C10" s="17" t="str">
        <f aca="false">Data!$C$10</f>
        <v>India mid-cap</v>
      </c>
      <c r="D10" s="30" t="n">
        <f aca="false">Data!$H$10*IF(Data!$D$10="INR",Inputs!$C$5,1)</f>
        <v>9020.15118191477</v>
      </c>
      <c r="E10" s="30" t="n">
        <f aca="false">(Data!$I$10+Data!$K$10-Data!$J$10)*IF(Data!$E$10="INR",Inputs!$C$5,1)</f>
        <v>-162.02832264</v>
      </c>
      <c r="F10" s="30" t="n">
        <f aca="false">D10+E10</f>
        <v>8858.12285927477</v>
      </c>
      <c r="G10" s="30" t="n">
        <f aca="false">Data!$L$10*IF(Data!$E$10="INR",Inputs!$C$5,1)</f>
        <v>1619.34496452</v>
      </c>
      <c r="H10" s="30" t="n">
        <f aca="false">Data!$M$10*IF(Data!$E$10="INR",Inputs!$C$5,1)</f>
        <v>305.58584439</v>
      </c>
      <c r="I10" s="30" t="n">
        <f aca="false">Data!$N$10*IF(Data!$E$10="INR",Inputs!$C$5,1)</f>
        <v>261.81389709</v>
      </c>
      <c r="J10" s="30" t="n">
        <f aca="false">Data!$O$10*IF(Data!$E$10="INR",Inputs!$C$5,1)</f>
        <v>196.43345631</v>
      </c>
      <c r="K10" s="33" t="n">
        <f aca="false">H10/G10</f>
        <v>0.1887095406386</v>
      </c>
      <c r="L10" s="33" t="n">
        <f aca="false">Data!$S$10/Data!$R$10-1</f>
        <v>0.156467658193324</v>
      </c>
      <c r="M10" s="42" t="n">
        <f aca="false">F10/G10</f>
        <v>5.47018890561126</v>
      </c>
      <c r="N10" s="42" t="n">
        <f aca="false">F10/H10</f>
        <v>28.9873468352471</v>
      </c>
      <c r="O10" s="42" t="n">
        <f aca="false">F10/I10</f>
        <v>33.8336618404551</v>
      </c>
      <c r="P10" s="42" t="n">
        <f aca="false">D10/J10</f>
        <v>45.9196277017072</v>
      </c>
      <c r="Q10" s="30" t="n">
        <f aca="false">(MAX(0,MIN(DATEVALUE(Data!$Q$10),DATEVALUE(Inputs!$C$9))-DATEVALUE(Inputs!$C$8)+1)/365*Data!$R$10+(1-MAX(0,MIN(DATEVALUE(Data!$Q$10),DATEVALUE(Inputs!$C$9))-DATEVALUE(Inputs!$C$8)+1)/365)*Data!$S$10)*IF(Data!$D$10="INR",Inputs!$C$5,1)</f>
        <v>1925.91167629482</v>
      </c>
      <c r="R10" s="43" t="n">
        <f aca="false">MAX(0,MIN(DATEVALUE(Data!$Q$10),DATEVALUE(Inputs!$C$9))-DATEVALUE(Inputs!$C$8)+1)/365*Data!$T$10+(1-MAX(0,MIN(DATEVALUE(Data!$Q$10),DATEVALUE(Inputs!$C$9))-DATEVALUE(Inputs!$C$8)+1)/365)*Data!$U$10</f>
        <v>144.30505</v>
      </c>
      <c r="S10" s="42" t="n">
        <f aca="false">F10/Q10</f>
        <v>4.5994439767438</v>
      </c>
      <c r="T10" s="42" t="n">
        <f aca="false">Data!$F$10/R10</f>
        <v>38.2245804980491</v>
      </c>
    </row>
    <row r="11" customFormat="false" ht="15" hidden="false" customHeight="false" outlineLevel="0" collapsed="false">
      <c r="B11" s="17" t="str">
        <f aca="false">Data!$B$11</f>
        <v>Accenture</v>
      </c>
      <c r="C11" s="17" t="str">
        <f aca="false">Data!$C$11</f>
        <v>Global</v>
      </c>
      <c r="D11" s="30" t="n">
        <f aca="false">Data!$H$11*IF(Data!$D$11="INR",Inputs!$C$5,1)</f>
        <v>115412.285492398</v>
      </c>
      <c r="E11" s="30" t="n">
        <f aca="false">(Data!$I$11+Data!$K$11-Data!$J$11)*IF(Data!$E$11="INR",Inputs!$C$5,1)</f>
        <v>-165.649999999998</v>
      </c>
      <c r="F11" s="30" t="n">
        <f aca="false">D11+E11</f>
        <v>115246.635492398</v>
      </c>
      <c r="G11" s="30" t="n">
        <f aca="false">Data!$L$11*IF(Data!$E$11="INR",Inputs!$C$5,1)</f>
        <v>73100.595</v>
      </c>
      <c r="H11" s="30" t="n">
        <f aca="false">Data!$M$11*IF(Data!$E$11="INR",Inputs!$C$5,1)</f>
        <v>12330.716</v>
      </c>
      <c r="I11" s="30" t="n">
        <f aca="false">Data!$N$11*IF(Data!$E$11="INR",Inputs!$C$5,1)</f>
        <v>10915.206</v>
      </c>
      <c r="J11" s="30" t="n">
        <f aca="false">Data!$O$11*IF(Data!$E$11="INR",Inputs!$C$5,1)</f>
        <v>7789.752</v>
      </c>
      <c r="K11" s="33" t="n">
        <f aca="false">H11/G11</f>
        <v>0.168681472428508</v>
      </c>
      <c r="L11" s="33" t="n">
        <f aca="false">Data!$S$11/Data!$R$11-1</f>
        <v>0.0410878003601227</v>
      </c>
      <c r="M11" s="42" t="n">
        <f aca="false">F11/G11</f>
        <v>1.57654852867337</v>
      </c>
      <c r="N11" s="42" t="n">
        <f aca="false">F11/H11</f>
        <v>9.34630523421334</v>
      </c>
      <c r="O11" s="42" t="n">
        <f aca="false">F11/I11</f>
        <v>10.5583564334377</v>
      </c>
      <c r="P11" s="42" t="n">
        <f aca="false">D11/J11</f>
        <v>14.8159126879005</v>
      </c>
      <c r="Q11" s="30" t="n">
        <f aca="false">(MAX(0,MIN(DATEVALUE(Data!$Q$11),DATEVALUE(Inputs!$C$9))-DATEVALUE(Inputs!$C$8)+1)/365*Data!$R$11+(1-MAX(0,MIN(DATEVALUE(Data!$Q$11),DATEVALUE(Inputs!$C$9))-DATEVALUE(Inputs!$C$8)+1)/365)*Data!$S$11)*IF(Data!$D$11="INR",Inputs!$C$5,1)</f>
        <v>75321.8631125754</v>
      </c>
      <c r="R11" s="43" t="n">
        <f aca="false">MAX(0,MIN(DATEVALUE(Data!$Q$11),DATEVALUE(Inputs!$C$9))-DATEVALUE(Inputs!$C$8)+1)/365*Data!$T$11+(1-MAX(0,MIN(DATEVALUE(Data!$Q$11),DATEVALUE(Inputs!$C$9))-DATEVALUE(Inputs!$C$8)+1)/365)*Data!$U$11</f>
        <v>14.3364823287671</v>
      </c>
      <c r="S11" s="42" t="n">
        <f aca="false">F11/Q11</f>
        <v>1.53005556062988</v>
      </c>
      <c r="T11" s="42" t="n">
        <f aca="false">Data!$F$11/R11</f>
        <v>13.1552497871167</v>
      </c>
    </row>
    <row r="12" customFormat="false" ht="15" hidden="false" customHeight="false" outlineLevel="0" collapsed="false">
      <c r="B12" s="17" t="str">
        <f aca="false">Data!$B$12</f>
        <v>Cognizant</v>
      </c>
      <c r="C12" s="17" t="str">
        <f aca="false">Data!$C$12</f>
        <v>Global</v>
      </c>
      <c r="D12" s="30" t="n">
        <f aca="false">Data!$H$12*IF(Data!$D$12="INR",Inputs!$C$5,1)</f>
        <v>28130.2411957117</v>
      </c>
      <c r="E12" s="30" t="n">
        <f aca="false">(Data!$I$12+Data!$K$12-Data!$J$12)*IF(Data!$E$12="INR",Inputs!$C$5,1)</f>
        <v>1043</v>
      </c>
      <c r="F12" s="30" t="n">
        <f aca="false">D12+E12</f>
        <v>29173.2411957117</v>
      </c>
      <c r="G12" s="30" t="n">
        <f aca="false">Data!$L$12*IF(Data!$E$12="INR",Inputs!$C$5,1)</f>
        <v>21642</v>
      </c>
      <c r="H12" s="30" t="n">
        <f aca="false">Data!$M$12*IF(Data!$E$12="INR",Inputs!$C$5,1)</f>
        <v>4102</v>
      </c>
      <c r="I12" s="30" t="n">
        <f aca="false">Data!$N$12*IF(Data!$E$12="INR",Inputs!$C$5,1)</f>
        <v>3543</v>
      </c>
      <c r="J12" s="30" t="n">
        <f aca="false">Data!$O$12*IF(Data!$E$12="INR",Inputs!$C$5,1)</f>
        <v>2220</v>
      </c>
      <c r="K12" s="33" t="n">
        <f aca="false">H12/G12</f>
        <v>0.189538859624804</v>
      </c>
      <c r="L12" s="33" t="n">
        <f aca="false">Data!$S$12/Data!$R$12-1</f>
        <v>0.0476403685764784</v>
      </c>
      <c r="M12" s="42" t="n">
        <f aca="false">F12/G12</f>
        <v>1.34799192291432</v>
      </c>
      <c r="N12" s="42" t="n">
        <f aca="false">F12/H12</f>
        <v>7.11195543532708</v>
      </c>
      <c r="O12" s="42" t="n">
        <f aca="false">F12/I12</f>
        <v>8.23405057739533</v>
      </c>
      <c r="P12" s="42" t="n">
        <f aca="false">D12/J12</f>
        <v>12.6712798178881</v>
      </c>
      <c r="Q12" s="30" t="n">
        <f aca="false">(MAX(0,MIN(DATEVALUE(Data!$Q$12),DATEVALUE(Inputs!$C$9))-DATEVALUE(Inputs!$C$8)+1)/365*Data!$R$12+(1-MAX(0,MIN(DATEVALUE(Data!$Q$12),DATEVALUE(Inputs!$C$9))-DATEVALUE(Inputs!$C$8)+1)/365)*Data!$S$12)*IF(Data!$D$12="INR",Inputs!$C$5,1)</f>
        <v>22457.4369536986</v>
      </c>
      <c r="R12" s="43" t="n">
        <f aca="false">MAX(0,MIN(DATEVALUE(Data!$Q$12),DATEVALUE(Inputs!$C$9))-DATEVALUE(Inputs!$C$8)+1)/365*Data!$T$12+(1-MAX(0,MIN(DATEVALUE(Data!$Q$12),DATEVALUE(Inputs!$C$9))-DATEVALUE(Inputs!$C$8)+1)/365)*Data!$U$12</f>
        <v>5.88046136986301</v>
      </c>
      <c r="S12" s="42" t="n">
        <f aca="false">F12/Q12</f>
        <v>1.29904589093846</v>
      </c>
      <c r="T12" s="42" t="n">
        <f aca="false">Data!$F$12/R12</f>
        <v>10.6199151452625</v>
      </c>
    </row>
    <row r="13" customFormat="false" ht="15" hidden="false" customHeight="false" outlineLevel="0" collapsed="false">
      <c r="B13" s="17" t="str">
        <f aca="false">Data!$B$13</f>
        <v>EPAM Systems</v>
      </c>
      <c r="C13" s="17" t="str">
        <f aca="false">Data!$C$13</f>
        <v>Global</v>
      </c>
      <c r="D13" s="30" t="n">
        <f aca="false">Data!$H$13*IF(Data!$D$13="INR",Inputs!$C$5,1)</f>
        <v>6312.1830266462</v>
      </c>
      <c r="E13" s="30" t="n">
        <f aca="false">(Data!$I$13+Data!$K$13-Data!$J$13)*IF(Data!$E$13="INR",Inputs!$C$5,1)</f>
        <v>-636.572</v>
      </c>
      <c r="F13" s="30" t="n">
        <f aca="false">D13+E13</f>
        <v>5675.6110266462</v>
      </c>
      <c r="G13" s="30" t="n">
        <f aca="false">Data!$L$13*IF(Data!$E$13="INR",Inputs!$C$5,1)</f>
        <v>5616.749</v>
      </c>
      <c r="H13" s="30" t="n">
        <f aca="false">Data!$M$13*IF(Data!$E$13="INR",Inputs!$C$5,1)</f>
        <v>720.483</v>
      </c>
      <c r="I13" s="30" t="n">
        <f aca="false">Data!$N$13*IF(Data!$E$13="INR",Inputs!$C$5,1)</f>
        <v>553.337</v>
      </c>
      <c r="J13" s="30" t="n">
        <f aca="false">Data!$O$13*IF(Data!$E$13="INR",Inputs!$C$5,1)</f>
        <v>401.67</v>
      </c>
      <c r="K13" s="33" t="n">
        <f aca="false">H13/G13</f>
        <v>0.128274024707175</v>
      </c>
      <c r="L13" s="33" t="n">
        <f aca="false">Data!$S$13/Data!$R$13-1</f>
        <v>0.0354972949448675</v>
      </c>
      <c r="M13" s="42" t="n">
        <f aca="false">F13/G13</f>
        <v>1.01047973242995</v>
      </c>
      <c r="N13" s="42" t="n">
        <f aca="false">F13/H13</f>
        <v>7.87750859721353</v>
      </c>
      <c r="O13" s="42" t="n">
        <f aca="false">F13/I13</f>
        <v>10.2570603929363</v>
      </c>
      <c r="P13" s="42" t="n">
        <f aca="false">D13/J13</f>
        <v>15.7148480758986</v>
      </c>
      <c r="Q13" s="30" t="n">
        <f aca="false">(MAX(0,MIN(DATEVALUE(Data!$Q$13),DATEVALUE(Inputs!$C$9))-DATEVALUE(Inputs!$C$8)+1)/365*Data!$R$13+(1-MAX(0,MIN(DATEVALUE(Data!$Q$13),DATEVALUE(Inputs!$C$9))-DATEVALUE(Inputs!$C$8)+1)/365)*Data!$S$13)*IF(Data!$D$13="INR",Inputs!$C$5,1)</f>
        <v>5706.45957479452</v>
      </c>
      <c r="R13" s="43" t="n">
        <f aca="false">MAX(0,MIN(DATEVALUE(Data!$Q$13),DATEVALUE(Inputs!$C$9))-DATEVALUE(Inputs!$C$8)+1)/365*Data!$T$13+(1-MAX(0,MIN(DATEVALUE(Data!$Q$13),DATEVALUE(Inputs!$C$9))-DATEVALUE(Inputs!$C$8)+1)/365)*Data!$U$13</f>
        <v>13.3755064383562</v>
      </c>
      <c r="S13" s="42" t="n">
        <f aca="false">F13/Q13</f>
        <v>0.994594100292135</v>
      </c>
      <c r="T13" s="42" t="n">
        <f aca="false">Data!$F$13/R13</f>
        <v>9.1480648732273</v>
      </c>
    </row>
    <row r="15" customFormat="false" ht="15.75" hidden="false" customHeight="true" outlineLevel="0" collapsed="false">
      <c r="B15" s="24" t="s">
        <v>157</v>
      </c>
      <c r="C15" s="1"/>
      <c r="D15" s="1"/>
      <c r="E15" s="1"/>
      <c r="F15" s="1"/>
      <c r="G15" s="1"/>
      <c r="H15" s="1"/>
      <c r="I15" s="1"/>
      <c r="J15" s="1"/>
      <c r="K15" s="1"/>
      <c r="L15" s="1"/>
      <c r="M15" s="1"/>
      <c r="N15" s="1"/>
      <c r="O15" s="1"/>
      <c r="P15" s="1"/>
      <c r="Q15" s="1"/>
      <c r="R15" s="1"/>
      <c r="S15" s="1"/>
      <c r="T15" s="1"/>
    </row>
    <row r="16" customFormat="false" ht="15" hidden="false" customHeight="false" outlineLevel="0" collapsed="false">
      <c r="B16" s="31" t="s">
        <v>158</v>
      </c>
      <c r="K16" s="33" t="n">
        <f aca="false">MAX(K6,K7,K8,K9,K10,K11,K12,K13)</f>
        <v>0.252697442971868</v>
      </c>
      <c r="L16" s="33" t="n">
        <f aca="false">MAX(L6,L7,L8,L9,L10,L11,L12,L13)</f>
        <v>0.156467658193324</v>
      </c>
      <c r="M16" s="42" t="n">
        <f aca="false">MAX(M6,M7,M8,M9,M10,M11,M12,M13)</f>
        <v>5.47018890561126</v>
      </c>
      <c r="N16" s="42" t="n">
        <f aca="false">MAX(N6,N7,N8,N9,N10,N11,N12,N13)</f>
        <v>28.9873468352471</v>
      </c>
      <c r="O16" s="42" t="n">
        <f aca="false">MAX(O6,O7,O8,O9,O10,O11,O12,O13)</f>
        <v>33.8336618404551</v>
      </c>
      <c r="P16" s="42" t="n">
        <f aca="false">MAX(P6,P7,P8,P9,P10,P11,P12,P13)</f>
        <v>45.9196277017072</v>
      </c>
      <c r="Q16" s="42" t="n">
        <f aca="false">MAX(Q6,Q7,Q8,Q9,Q10,Q11,Q12,Q13)</f>
        <v>75321.8631125754</v>
      </c>
      <c r="R16" s="42" t="n">
        <f aca="false">MAX(R6,R7,R8,R9,R10,R11,R12,R13)</f>
        <v>144.30505</v>
      </c>
      <c r="S16" s="42" t="n">
        <f aca="false">MAX(S6,S7,S8,S9,S10,S11,S12,S13)</f>
        <v>4.5994439767438</v>
      </c>
      <c r="T16" s="42" t="n">
        <f aca="false">MAX(T6,T7,T8,T9,T10,T11,T12,T13)</f>
        <v>38.2245804980491</v>
      </c>
    </row>
    <row r="17" customFormat="false" ht="15" hidden="false" customHeight="false" outlineLevel="0" collapsed="false">
      <c r="B17" s="31" t="s">
        <v>159</v>
      </c>
      <c r="K17" s="33" t="n">
        <f aca="false">PERCENTILE((K6~K7~K8~K9~K10~K11~K12~K13),0.75)</f>
        <v>0.211837702445776</v>
      </c>
      <c r="L17" s="33" t="n">
        <f aca="false">PERCENTILE((L6~L7~L8~L9~L10~L11~L12~L13),0.75)</f>
        <v>0.0570966740303545</v>
      </c>
      <c r="M17" s="42" t="n">
        <f aca="false">PERCENTILE((M6~M7~M8~M9~M10~M11~M12~M13),0.75)</f>
        <v>2.24189047668746</v>
      </c>
      <c r="N17" s="42" t="n">
        <f aca="false">PERCENTILE((N6~N7~N8~N9~N10~N11~N12~N13),0.75)</f>
        <v>11.7250337048962</v>
      </c>
      <c r="O17" s="42" t="n">
        <f aca="false">PERCENTILE((O6~O7~O8~O9~O10~O11~O12~O13),0.75)</f>
        <v>14.1712752577583</v>
      </c>
      <c r="P17" s="42" t="n">
        <f aca="false">PERCENTILE((P6~P7~P8~P9~P10~P11~P12~P13),0.75)</f>
        <v>21.0876261209874</v>
      </c>
      <c r="Q17" s="42" t="n">
        <f aca="false">PERCENTILE((Q6~Q7~Q8~Q9~Q10~Q11~Q12~Q13),0.75)</f>
        <v>20911.3174204117</v>
      </c>
      <c r="R17" s="42" t="n">
        <f aca="false">PERCENTILE((R6~R7~R8~R9~R10~R11~R12~R13),0.75)</f>
        <v>76.679085</v>
      </c>
      <c r="S17" s="42" t="n">
        <f aca="false">PERCENTILE((S6~S7~S8~S9~S10~S11~S12~S13),0.75)</f>
        <v>2.07113870009618</v>
      </c>
      <c r="T17" s="42" t="n">
        <f aca="false">PERCENTILE((T6~T7~T8~T9~T10~T11~T12~T13),0.75)</f>
        <v>17.3388000133134</v>
      </c>
    </row>
    <row r="18" customFormat="false" ht="15" hidden="false" customHeight="false" outlineLevel="0" collapsed="false">
      <c r="B18" s="31" t="s">
        <v>53</v>
      </c>
      <c r="K18" s="33" t="n">
        <f aca="false">MEDIAN(K6,K7,K8,K9,K10,K11,K12,K13)</f>
        <v>0.189124200131702</v>
      </c>
      <c r="L18" s="33" t="n">
        <f aca="false">MEDIAN(L6,L7,L8,L9,L10,L11,L12,L13)</f>
        <v>0.0443640844683005</v>
      </c>
      <c r="M18" s="42" t="n">
        <f aca="false">MEDIAN(M6,M7,M8,M9,M10,M11,M12,M13)</f>
        <v>1.81790318306496</v>
      </c>
      <c r="N18" s="42" t="n">
        <f aca="false">MEDIAN(N6,N7,N8,N9,N10,N11,N12,N13)</f>
        <v>8.74770480338621</v>
      </c>
      <c r="O18" s="42" t="n">
        <f aca="false">MEDIAN(O6,O7,O8,O9,O10,O11,O12,O13)</f>
        <v>10.407708413187</v>
      </c>
      <c r="P18" s="42" t="n">
        <f aca="false">MEDIAN(P6,P7,P8,P9,P10,P11,P12,P13)</f>
        <v>15.2653803818995</v>
      </c>
      <c r="Q18" s="42" t="n">
        <f aca="false">MEDIAN(Q6,Q7,Q8,Q9,Q10,Q11,Q12,Q13)</f>
        <v>12615.0162323561</v>
      </c>
      <c r="R18" s="42" t="n">
        <f aca="false">MEDIAN(R6,R7,R8,R9,R10,R11,R12,R13)</f>
        <v>43.7782961643836</v>
      </c>
      <c r="S18" s="42" t="n">
        <f aca="false">MEDIAN(S6,S7,S8,S9,S10,S11,S12,S13)</f>
        <v>1.78966179160664</v>
      </c>
      <c r="T18" s="42" t="n">
        <f aca="false">MEDIAN(T6,T7,T8,T9,T10,T11,T12,T13)</f>
        <v>13.3620921053012</v>
      </c>
    </row>
    <row r="19" customFormat="false" ht="15" hidden="false" customHeight="false" outlineLevel="0" collapsed="false">
      <c r="B19" s="31" t="s">
        <v>160</v>
      </c>
      <c r="K19" s="33" t="n">
        <f aca="false">AVERAGE(K6,K7,K8,K9,K10,K11,K12,K13)</f>
        <v>0.189634074310755</v>
      </c>
      <c r="L19" s="33" t="n">
        <f aca="false">AVERAGE(L6,L7,L8,L9,L10,L11,L12,L13)</f>
        <v>0.0581471362997733</v>
      </c>
      <c r="M19" s="42" t="n">
        <f aca="false">AVERAGE(M6,M7,M8,M9,M10,M11,M12,M13)</f>
        <v>2.1898052301255</v>
      </c>
      <c r="N19" s="42" t="n">
        <f aca="false">AVERAGE(N6,N7,N8,N9,N10,N11,N12,N13)</f>
        <v>11.6876621579303</v>
      </c>
      <c r="O19" s="42" t="n">
        <f aca="false">AVERAGE(O6,O7,O8,O9,O10,O11,O12,O13)</f>
        <v>13.8620183864609</v>
      </c>
      <c r="P19" s="42" t="n">
        <f aca="false">AVERAGE(P6,P7,P8,P9,P10,P11,P12,P13)</f>
        <v>20.1139788468706</v>
      </c>
      <c r="Q19" s="42" t="n">
        <f aca="false">AVERAGE(Q6,Q7,Q8,Q9,Q10,Q11,Q12,Q13)</f>
        <v>19711.5106622438</v>
      </c>
      <c r="R19" s="42" t="n">
        <f aca="false">AVERAGE(R6,R7,R8,R9,R10,R11,R12,R13)</f>
        <v>52.2745000171233</v>
      </c>
      <c r="S19" s="42" t="n">
        <f aca="false">AVERAGE(S6,S7,S8,S9,S10,S11,S12,S13)</f>
        <v>2.01727093945346</v>
      </c>
      <c r="T19" s="42" t="n">
        <f aca="false">AVERAGE(T6,T7,T8,T9,T10,T11,T12,T13)</f>
        <v>16.7125406731917</v>
      </c>
    </row>
    <row r="20" customFormat="false" ht="15" hidden="false" customHeight="false" outlineLevel="0" collapsed="false">
      <c r="B20" s="31" t="s">
        <v>161</v>
      </c>
      <c r="K20" s="33" t="n">
        <f aca="false">PERCENTILE((K6~K7~K8~K9~K10~K11~K12~K13),0.25)</f>
        <v>0.165885450837157</v>
      </c>
      <c r="L20" s="33" t="n">
        <f aca="false">PERCENTILE((L6~L7~L8~L9~L10~L11~L12~L13),0.25)</f>
        <v>0.0372903478932377</v>
      </c>
      <c r="M20" s="42" t="n">
        <f aca="false">PERCENTILE((M6~M7~M8~M9~M10~M11~M12~M13),0.25)</f>
        <v>1.50223932708804</v>
      </c>
      <c r="N20" s="42" t="n">
        <f aca="false">PERCENTILE((N6~N7~N8~N9~N10~N11~N12~N13),0.25)</f>
        <v>7.68612030674192</v>
      </c>
      <c r="O20" s="42" t="n">
        <f aca="false">PERCENTILE((O6~O7~O8~O9~O10~O11~O12~O13),0.25)</f>
        <v>8.9044543882103</v>
      </c>
      <c r="P20" s="42" t="n">
        <f aca="false">PERCENTILE((P6~P7~P8~P9~P10~P11~P12~P13),0.25)</f>
        <v>13.0939833856217</v>
      </c>
      <c r="Q20" s="42" t="n">
        <f aca="false">PERCENTILE((Q6~Q7~Q8~Q9~Q10~Q11~Q12~Q13),0.25)</f>
        <v>6417.44284861784</v>
      </c>
      <c r="R20" s="42" t="n">
        <f aca="false">PERCENTILE((R6~R7~R8~R9~R10~R11~R12~R13),0.25)</f>
        <v>13.3602223287671</v>
      </c>
      <c r="S20" s="42" t="n">
        <f aca="false">PERCENTILE((S6~S7~S8~S9~S10~S11~S12~S13),0.25)</f>
        <v>1.44533012934791</v>
      </c>
      <c r="T20" s="42" t="n">
        <f aca="false">PERCENTILE((T6~T7~T8~T9~T10~T11~T12~T13),0.25)</f>
        <v>12.0846401221505</v>
      </c>
    </row>
    <row r="21" customFormat="false" ht="15" hidden="false" customHeight="false" outlineLevel="0" collapsed="false">
      <c r="B21" s="31" t="s">
        <v>162</v>
      </c>
      <c r="K21" s="33" t="n">
        <f aca="false">MIN(K6,K7,K8,K9,K10,K11,K12,K13)</f>
        <v>0.128274024707175</v>
      </c>
      <c r="L21" s="33" t="n">
        <f aca="false">MIN(L6,L7,L8,L9,L10,L11,L12,L13)</f>
        <v>0.0302983632977265</v>
      </c>
      <c r="M21" s="42" t="n">
        <f aca="false">MIN(M6,M7,M8,M9,M10,M11,M12,M13)</f>
        <v>1.01047973242995</v>
      </c>
      <c r="N21" s="42" t="n">
        <f aca="false">MIN(N6,N7,N8,N9,N10,N11,N12,N13)</f>
        <v>6.94106092248368</v>
      </c>
      <c r="O21" s="42" t="n">
        <f aca="false">MIN(O6,O7,O8,O9,O10,O11,O12,O13)</f>
        <v>8.09473108041761</v>
      </c>
      <c r="P21" s="42" t="n">
        <f aca="false">MIN(P6,P7,P8,P9,P10,P11,P12,P13)</f>
        <v>12.5281277132476</v>
      </c>
      <c r="Q21" s="42" t="n">
        <f aca="false">MIN(Q6,Q7,Q8,Q9,Q10,Q11,Q12,Q13)</f>
        <v>1925.91167629482</v>
      </c>
      <c r="R21" s="42" t="n">
        <f aca="false">MIN(R6,R7,R8,R9,R10,R11,R12,R13)</f>
        <v>5.88046136986301</v>
      </c>
      <c r="S21" s="42" t="n">
        <f aca="false">MIN(S6,S7,S8,S9,S10,S11,S12,S13)</f>
        <v>0.994594100292135</v>
      </c>
      <c r="T21" s="42" t="n">
        <f aca="false">MIN(T6,T7,T8,T9,T10,T11,T12,T13)</f>
        <v>9.1480648732273</v>
      </c>
    </row>
    <row r="22" customFormat="false" ht="30" hidden="false" customHeight="true" outlineLevel="0" collapsed="false">
      <c r="B22" s="19" t="s">
        <v>163</v>
      </c>
      <c r="C22" s="19"/>
      <c r="D22" s="19"/>
      <c r="E22" s="19"/>
      <c r="F22" s="19"/>
      <c r="G22" s="19"/>
      <c r="H22" s="19"/>
      <c r="I22" s="19"/>
      <c r="J22" s="19"/>
      <c r="K22" s="19"/>
      <c r="L22" s="19"/>
      <c r="M22" s="19"/>
      <c r="N22" s="19"/>
      <c r="O22" s="19"/>
      <c r="P22" s="19"/>
      <c r="Q22" s="19"/>
      <c r="R22" s="19"/>
      <c r="S22" s="19"/>
      <c r="T22" s="19"/>
    </row>
    <row r="24" customFormat="false" ht="15.75" hidden="false" customHeight="true" outlineLevel="0" collapsed="false">
      <c r="B24" s="24" t="s">
        <v>164</v>
      </c>
      <c r="C24" s="1"/>
      <c r="D24" s="1"/>
      <c r="E24" s="1"/>
      <c r="F24" s="1"/>
      <c r="G24" s="1"/>
      <c r="H24" s="1"/>
      <c r="I24" s="1"/>
      <c r="J24" s="1"/>
      <c r="K24" s="1"/>
      <c r="L24" s="1"/>
      <c r="M24" s="1"/>
      <c r="N24" s="1"/>
      <c r="O24" s="1"/>
      <c r="P24" s="1"/>
      <c r="Q24" s="1"/>
      <c r="R24" s="1"/>
      <c r="S24" s="1"/>
      <c r="T24" s="1"/>
    </row>
    <row r="25" customFormat="false" ht="15" hidden="false" customHeight="false" outlineLevel="0" collapsed="false">
      <c r="B25" s="31" t="s">
        <v>165</v>
      </c>
      <c r="K25" s="44" t="n">
        <f aca="false">K5</f>
        <v>0.270642822407558</v>
      </c>
      <c r="L25" s="44" t="n">
        <f aca="false">L5</f>
        <v>0.0442041821564192</v>
      </c>
      <c r="M25" s="29" t="n">
        <f aca="false">M5</f>
        <v>2.80594193340856</v>
      </c>
      <c r="N25" s="29" t="n">
        <f aca="false">N5</f>
        <v>10.3676938795115</v>
      </c>
      <c r="O25" s="29" t="n">
        <f aca="false">O5</f>
        <v>11.1812906279896</v>
      </c>
      <c r="P25" s="29" t="n">
        <f aca="false">P5</f>
        <v>15.7726943380366</v>
      </c>
      <c r="Q25" s="29" t="n">
        <f aca="false">Q5</f>
        <v>30454.8404096912</v>
      </c>
      <c r="R25" s="29" t="n">
        <f aca="false">R5</f>
        <v>155.08232</v>
      </c>
      <c r="S25" s="29" t="n">
        <f aca="false">S5</f>
        <v>2.63752838659017</v>
      </c>
      <c r="T25" s="29" t="n">
        <f aca="false">T5</f>
        <v>14.1911727913279</v>
      </c>
    </row>
    <row r="26" customFormat="false" ht="15" hidden="false" customHeight="false" outlineLevel="0" collapsed="false">
      <c r="B26" s="20" t="s">
        <v>166</v>
      </c>
      <c r="K26" s="33" t="n">
        <f aca="false">K5/K18-1</f>
        <v>0.431032211737517</v>
      </c>
      <c r="L26" s="33" t="n">
        <f aca="false">L5/L18-1</f>
        <v>-0.00360431898455149</v>
      </c>
      <c r="M26" s="33" t="n">
        <f aca="false">M5/M18-1</f>
        <v>0.543504604396906</v>
      </c>
      <c r="N26" s="33" t="n">
        <f aca="false">N5/N18-1</f>
        <v>0.185190185601391</v>
      </c>
      <c r="O26" s="33" t="n">
        <f aca="false">O5/O18-1</f>
        <v>0.0743278139712718</v>
      </c>
      <c r="P26" s="33" t="n">
        <f aca="false">P5/P18-1</f>
        <v>0.0332329718254902</v>
      </c>
      <c r="Q26" s="33" t="n">
        <f aca="false">Q5/Q18-1</f>
        <v>1.41417369971971</v>
      </c>
      <c r="R26" s="33" t="n">
        <f aca="false">R5/R18-1</f>
        <v>2.54244759589729</v>
      </c>
      <c r="S26" s="33" t="n">
        <f aca="false">S5/S18-1</f>
        <v>0.473758002187868</v>
      </c>
      <c r="T26" s="33" t="n">
        <f aca="false">T5/T18-1</f>
        <v>0.0620472213103329</v>
      </c>
    </row>
  </sheetData>
  <mergeCells count="1">
    <mergeCell ref="B22:T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Trading Comparables&amp;R&amp;"Arial,Regular"&amp;8Comps</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2"/>
  </cols>
  <sheetData>
    <row r="1" customFormat="false" ht="30" hidden="false" customHeight="true" outlineLevel="0" collapsed="false">
      <c r="A1" s="1"/>
      <c r="B1" s="21" t="s">
        <v>35</v>
      </c>
      <c r="C1" s="1"/>
      <c r="D1" s="1"/>
      <c r="E1" s="1"/>
      <c r="F1" s="1"/>
      <c r="G1" s="1"/>
      <c r="H1" s="22" t="s">
        <v>36</v>
      </c>
    </row>
    <row r="2" customFormat="false" ht="18" hidden="false" customHeight="true" outlineLevel="0" collapsed="false">
      <c r="A2" s="1"/>
      <c r="B2" s="23" t="s">
        <v>167</v>
      </c>
      <c r="C2" s="1"/>
      <c r="D2" s="1"/>
      <c r="E2" s="1"/>
      <c r="F2" s="1"/>
      <c r="G2" s="1"/>
      <c r="H2" s="1"/>
    </row>
    <row r="4" customFormat="false" ht="15.75" hidden="false" customHeight="true" outlineLevel="0" collapsed="false">
      <c r="B4" s="24" t="s">
        <v>168</v>
      </c>
      <c r="C4" s="1"/>
      <c r="D4" s="1"/>
      <c r="E4" s="1"/>
      <c r="F4" s="1"/>
      <c r="G4" s="1"/>
      <c r="H4" s="1"/>
    </row>
    <row r="5" customFormat="false" ht="55.5" hidden="false" customHeight="true" outlineLevel="0" collapsed="false">
      <c r="B5" s="19" t="s">
        <v>169</v>
      </c>
      <c r="C5" s="19"/>
      <c r="D5" s="19"/>
      <c r="E5" s="19"/>
      <c r="F5" s="19"/>
      <c r="G5" s="19"/>
      <c r="H5" s="19"/>
    </row>
    <row r="7" customFormat="false" ht="42" hidden="false" customHeight="true" outlineLevel="0" collapsed="false">
      <c r="B7" s="28" t="s">
        <v>143</v>
      </c>
      <c r="C7" s="28" t="s">
        <v>170</v>
      </c>
      <c r="D7" s="28" t="s">
        <v>171</v>
      </c>
      <c r="E7" s="28" t="s">
        <v>172</v>
      </c>
      <c r="F7" s="28" t="s">
        <v>173</v>
      </c>
      <c r="G7" s="28" t="s">
        <v>174</v>
      </c>
      <c r="H7" s="28" t="s">
        <v>175</v>
      </c>
      <c r="I7" s="28" t="s">
        <v>176</v>
      </c>
    </row>
    <row r="8" customFormat="false" ht="15" hidden="false" customHeight="false" outlineLevel="0" collapsed="false">
      <c r="B8" s="17" t="str">
        <f aca="false">Data!$B$5</f>
        <v>Tata Consultancy Services</v>
      </c>
      <c r="C8" s="17" t="str">
        <f aca="false">Data!$Q$5</f>
        <v>2027-03-31</v>
      </c>
      <c r="D8" s="45" t="n">
        <f aca="false">MAX(0,MIN(DATEVALUE(Data!$Q$5),DATEVALUE(Inputs!$C$9))-DATEVALUE(Inputs!$C$8)+1)/365</f>
        <v>1</v>
      </c>
      <c r="E8" s="45" t="n">
        <f aca="false">D8</f>
        <v>1</v>
      </c>
      <c r="F8" s="45" t="n">
        <f aca="false">1-D8</f>
        <v>0</v>
      </c>
      <c r="G8" s="25" t="n">
        <f aca="false">Data!$R$5</f>
        <v>2909605.46572</v>
      </c>
      <c r="H8" s="25" t="n">
        <f aca="false">Data!$S$5</f>
        <v>3038222.19573</v>
      </c>
      <c r="I8" s="30" t="n">
        <f aca="false">E8*G8+F8*H8</f>
        <v>2909605.46572</v>
      </c>
    </row>
    <row r="9" customFormat="false" ht="15" hidden="false" customHeight="false" outlineLevel="0" collapsed="false">
      <c r="B9" s="17" t="str">
        <f aca="false">Data!$B$6</f>
        <v>Infosys</v>
      </c>
      <c r="C9" s="17" t="str">
        <f aca="false">Data!$Q$6</f>
        <v>2027-03-31</v>
      </c>
      <c r="D9" s="45" t="n">
        <f aca="false">MAX(0,MIN(DATEVALUE(Data!$Q$6),DATEVALUE(Inputs!$C$9))-DATEVALUE(Inputs!$C$8)+1)/365</f>
        <v>1</v>
      </c>
      <c r="E9" s="45" t="n">
        <f aca="false">D9</f>
        <v>1</v>
      </c>
      <c r="F9" s="45" t="n">
        <f aca="false">1-D9</f>
        <v>0</v>
      </c>
      <c r="G9" s="25" t="n">
        <f aca="false">Data!$R$6</f>
        <v>1948595.03608</v>
      </c>
      <c r="H9" s="25" t="n">
        <f aca="false">Data!$S$6</f>
        <v>2022423.46757</v>
      </c>
      <c r="I9" s="30" t="n">
        <f aca="false">E9*G9+F9*H9</f>
        <v>1948595.03608</v>
      </c>
    </row>
    <row r="10" customFormat="false" ht="15" hidden="false" customHeight="false" outlineLevel="0" collapsed="false">
      <c r="B10" s="17" t="str">
        <f aca="false">Data!$B$7</f>
        <v>HCL Technologies</v>
      </c>
      <c r="C10" s="17" t="str">
        <f aca="false">Data!$Q$7</f>
        <v>2027-03-31</v>
      </c>
      <c r="D10" s="45" t="n">
        <f aca="false">MAX(0,MIN(DATEVALUE(Data!$Q$7),DATEVALUE(Inputs!$C$9))-DATEVALUE(Inputs!$C$8)+1)/365</f>
        <v>1</v>
      </c>
      <c r="E10" s="45" t="n">
        <f aca="false">D10</f>
        <v>1</v>
      </c>
      <c r="F10" s="45" t="n">
        <f aca="false">1-D10</f>
        <v>0</v>
      </c>
      <c r="G10" s="25" t="n">
        <f aca="false">Data!$R$7</f>
        <v>1422895.86303</v>
      </c>
      <c r="H10" s="25" t="n">
        <f aca="false">Data!$S$7</f>
        <v>1508629.62335</v>
      </c>
      <c r="I10" s="30" t="n">
        <f aca="false">E10*G10+F10*H10</f>
        <v>1422895.86303</v>
      </c>
    </row>
    <row r="11" customFormat="false" ht="15" hidden="false" customHeight="false" outlineLevel="0" collapsed="false">
      <c r="B11" s="17" t="str">
        <f aca="false">Data!$B$8</f>
        <v>Wipro</v>
      </c>
      <c r="C11" s="17" t="str">
        <f aca="false">Data!$Q$8</f>
        <v>2027-03-31</v>
      </c>
      <c r="D11" s="45" t="n">
        <f aca="false">MAX(0,MIN(DATEVALUE(Data!$Q$8),DATEVALUE(Inputs!$C$9))-DATEVALUE(Inputs!$C$8)+1)/365</f>
        <v>1</v>
      </c>
      <c r="E11" s="45" t="n">
        <f aca="false">D11</f>
        <v>1</v>
      </c>
      <c r="F11" s="45" t="n">
        <f aca="false">1-D11</f>
        <v>0</v>
      </c>
      <c r="G11" s="25" t="n">
        <f aca="false">Data!$R$8</f>
        <v>987540.02736</v>
      </c>
      <c r="H11" s="25" t="n">
        <f aca="false">Data!$S$8</f>
        <v>1017460.87388</v>
      </c>
      <c r="I11" s="30" t="n">
        <f aca="false">E11*G11+F11*H11</f>
        <v>987540.02736</v>
      </c>
    </row>
    <row r="12" customFormat="false" ht="15" hidden="false" customHeight="false" outlineLevel="0" collapsed="false">
      <c r="B12" s="17" t="str">
        <f aca="false">Data!$B$9</f>
        <v>Tech Mahindra</v>
      </c>
      <c r="C12" s="17" t="str">
        <f aca="false">Data!$Q$9</f>
        <v>2027-03-31</v>
      </c>
      <c r="D12" s="45" t="n">
        <f aca="false">MAX(0,MIN(DATEVALUE(Data!$Q$9),DATEVALUE(Inputs!$C$9))-DATEVALUE(Inputs!$C$8)+1)/365</f>
        <v>1</v>
      </c>
      <c r="E12" s="45" t="n">
        <f aca="false">D12</f>
        <v>1</v>
      </c>
      <c r="F12" s="45" t="n">
        <f aca="false">1-D12</f>
        <v>0</v>
      </c>
      <c r="G12" s="25" t="n">
        <f aca="false">Data!$R$9</f>
        <v>635754.01483</v>
      </c>
      <c r="H12" s="25" t="n">
        <f aca="false">Data!$S$9</f>
        <v>671384.56991</v>
      </c>
      <c r="I12" s="30" t="n">
        <f aca="false">E12*G12+F12*H12</f>
        <v>635754.01483</v>
      </c>
    </row>
    <row r="13" customFormat="false" ht="15" hidden="false" customHeight="false" outlineLevel="0" collapsed="false">
      <c r="B13" s="17" t="str">
        <f aca="false">Data!$B$10</f>
        <v>Persistent Systems</v>
      </c>
      <c r="C13" s="17" t="str">
        <f aca="false">Data!$Q$10</f>
        <v>2027-03-31</v>
      </c>
      <c r="D13" s="45" t="n">
        <f aca="false">MAX(0,MIN(DATEVALUE(Data!$Q$10),DATEVALUE(Inputs!$C$9))-DATEVALUE(Inputs!$C$8)+1)/365</f>
        <v>1</v>
      </c>
      <c r="E13" s="45" t="n">
        <f aca="false">D13</f>
        <v>1</v>
      </c>
      <c r="F13" s="45" t="n">
        <f aca="false">1-D13</f>
        <v>0</v>
      </c>
      <c r="G13" s="25" t="n">
        <f aca="false">Data!$R$10</f>
        <v>183998.44046</v>
      </c>
      <c r="H13" s="25" t="n">
        <f aca="false">Data!$S$10</f>
        <v>212788.24555</v>
      </c>
      <c r="I13" s="30" t="n">
        <f aca="false">E13*G13+F13*H13</f>
        <v>183998.44046</v>
      </c>
    </row>
    <row r="14" customFormat="false" ht="15" hidden="false" customHeight="false" outlineLevel="0" collapsed="false">
      <c r="B14" s="17" t="str">
        <f aca="false">Data!$B$11</f>
        <v>Accenture</v>
      </c>
      <c r="C14" s="17" t="str">
        <f aca="false">Data!$Q$11</f>
        <v>2026-08-31</v>
      </c>
      <c r="D14" s="45" t="n">
        <f aca="false">MAX(0,MIN(DATEVALUE(Data!$Q$11),DATEVALUE(Inputs!$C$9))-DATEVALUE(Inputs!$C$8)+1)/365</f>
        <v>0.419178082191781</v>
      </c>
      <c r="E14" s="45" t="n">
        <f aca="false">D14</f>
        <v>0.419178082191781</v>
      </c>
      <c r="F14" s="45" t="n">
        <f aca="false">1-D14</f>
        <v>0.580821917808219</v>
      </c>
      <c r="G14" s="25" t="n">
        <f aca="false">Data!$R$11</f>
        <v>73566.22753</v>
      </c>
      <c r="H14" s="25" t="n">
        <f aca="false">Data!$S$11</f>
        <v>76588.902</v>
      </c>
      <c r="I14" s="30" t="n">
        <f aca="false">E14*G14+F14*H14</f>
        <v>75321.8631125754</v>
      </c>
    </row>
    <row r="15" customFormat="false" ht="15" hidden="false" customHeight="false" outlineLevel="0" collapsed="false">
      <c r="B15" s="17" t="str">
        <f aca="false">Data!$B$12</f>
        <v>Cognizant</v>
      </c>
      <c r="C15" s="17" t="str">
        <f aca="false">Data!$Q$12</f>
        <v>2026-12-31</v>
      </c>
      <c r="D15" s="45" t="n">
        <f aca="false">MAX(0,MIN(DATEVALUE(Data!$Q$12),DATEVALUE(Inputs!$C$9))-DATEVALUE(Inputs!$C$8)+1)/365</f>
        <v>0.753424657534247</v>
      </c>
      <c r="E15" s="45" t="n">
        <f aca="false">D15</f>
        <v>0.753424657534247</v>
      </c>
      <c r="F15" s="45" t="n">
        <f aca="false">1-D15</f>
        <v>0.246575342465753</v>
      </c>
      <c r="G15" s="25" t="n">
        <f aca="false">Data!$R$12</f>
        <v>22196.69372</v>
      </c>
      <c r="H15" s="25" t="n">
        <f aca="false">Data!$S$12</f>
        <v>23254.15239</v>
      </c>
      <c r="I15" s="30" t="n">
        <f aca="false">E15*G15+F15*H15</f>
        <v>22457.4369536986</v>
      </c>
    </row>
    <row r="16" customFormat="false" ht="15" hidden="false" customHeight="false" outlineLevel="0" collapsed="false">
      <c r="B16" s="17" t="str">
        <f aca="false">Data!$B$13</f>
        <v>EPAM Systems</v>
      </c>
      <c r="C16" s="17" t="str">
        <f aca="false">Data!$Q$13</f>
        <v>2026-12-31</v>
      </c>
      <c r="D16" s="45" t="n">
        <f aca="false">MAX(0,MIN(DATEVALUE(Data!$Q$13),DATEVALUE(Inputs!$C$9))-DATEVALUE(Inputs!$C$8)+1)/365</f>
        <v>0.753424657534247</v>
      </c>
      <c r="E16" s="45" t="n">
        <f aca="false">D16</f>
        <v>0.753424657534247</v>
      </c>
      <c r="F16" s="45" t="n">
        <f aca="false">1-D16</f>
        <v>0.246575342465753</v>
      </c>
      <c r="G16" s="25" t="n">
        <f aca="false">Data!$R$13</f>
        <v>5656.9457</v>
      </c>
      <c r="H16" s="25" t="n">
        <f aca="false">Data!$S$13</f>
        <v>5857.75197</v>
      </c>
      <c r="I16" s="30" t="n">
        <f aca="false">E16*G16+F16*H16</f>
        <v>5706.45957479452</v>
      </c>
    </row>
    <row r="18" customFormat="false" ht="43.5" hidden="false" customHeight="true" outlineLevel="0" collapsed="false">
      <c r="B18" s="19" t="s">
        <v>177</v>
      </c>
      <c r="C18" s="19"/>
      <c r="D18" s="19"/>
      <c r="E18" s="19"/>
      <c r="F18" s="19"/>
      <c r="G18" s="19"/>
      <c r="H18" s="19"/>
    </row>
  </sheetData>
  <mergeCells count="2">
    <mergeCell ref="B5:H5"/>
    <mergeCell ref="B18:H18"/>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Trading Comparables&amp;R&amp;"Arial,Regular"&amp;8Calendarisation</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4"/>
    <col collapsed="false" customWidth="true" hidden="false" outlineLevel="0" max="4" min="3" style="0" width="12"/>
  </cols>
  <sheetData>
    <row r="1" customFormat="false" ht="30" hidden="false" customHeight="true" outlineLevel="0" collapsed="false">
      <c r="A1" s="1"/>
      <c r="B1" s="21" t="s">
        <v>35</v>
      </c>
      <c r="C1" s="1"/>
      <c r="D1" s="22" t="s">
        <v>36</v>
      </c>
    </row>
    <row r="2" customFormat="false" ht="18" hidden="false" customHeight="true" outlineLevel="0" collapsed="false">
      <c r="A2" s="1"/>
      <c r="B2" s="23" t="s">
        <v>178</v>
      </c>
      <c r="C2" s="1"/>
      <c r="D2" s="1"/>
    </row>
    <row r="4" customFormat="false" ht="15" hidden="false" customHeight="false" outlineLevel="0" collapsed="false">
      <c r="B4" s="20" t="s">
        <v>179</v>
      </c>
      <c r="C4" s="46" t="b">
        <f aca="false">MIN(Comps!F5:F13)&gt;0</f>
        <v>1</v>
      </c>
    </row>
    <row r="5" customFormat="false" ht="15" hidden="false" customHeight="false" outlineLevel="0" collapsed="false">
      <c r="B5" s="20" t="s">
        <v>180</v>
      </c>
      <c r="C5" s="46" t="b">
        <f aca="false">AND(Comps!G6&gt;15000,Comps!G6&lt;30000)</f>
        <v>1</v>
      </c>
    </row>
    <row r="6" customFormat="false" ht="15" hidden="false" customHeight="false" outlineLevel="0" collapsed="false">
      <c r="B6" s="20" t="s">
        <v>181</v>
      </c>
      <c r="C6" s="46" t="b">
        <f aca="false">AND(MIN(Calendarisation!D8:D16)&gt;=0,MAX(Calendarisation!D8:D16)&lt;=1)</f>
        <v>1</v>
      </c>
    </row>
    <row r="7" customFormat="false" ht="15" hidden="false" customHeight="false" outlineLevel="0" collapsed="false">
      <c r="B7" s="20" t="s">
        <v>182</v>
      </c>
      <c r="C7" s="46" t="b">
        <f aca="false">AND(Comps!N5&gt;10,Comps!N5&lt;40)</f>
        <v>1</v>
      </c>
    </row>
    <row r="8" customFormat="false" ht="15" hidden="false" customHeight="false" outlineLevel="0" collapsed="false">
      <c r="B8" s="20" t="s">
        <v>183</v>
      </c>
      <c r="C8" s="46" t="b">
        <f aca="false">AND(Summary!G19&lt;=Summary!H19,Summary!H19&lt;=Summary!I19)</f>
        <v>1</v>
      </c>
    </row>
    <row r="10" customFormat="false" ht="15.75" hidden="false" customHeight="true" outlineLevel="0" collapsed="false">
      <c r="B10" s="24" t="s">
        <v>184</v>
      </c>
      <c r="C10" s="47" t="str">
        <f aca="false">IF(COUNTIF(C4:C8,FALSE())=0,"MODEL OK","CHECK ERRORS")</f>
        <v>MODEL OK</v>
      </c>
      <c r="D10" s="1"/>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Trading Comparables&amp;R&amp;"Arial,Regular"&amp;8Checks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2026-09-14T14:00:31Z</dcterms:created>
  <dc:creator>openpyxl</dc:creator>
  <dc:description/>
  <dc:language>en-US</dc:language>
  <cp:lastModifiedBy/>
  <dcterms:modified xsi:type="dcterms:W3CDTF">2026-09-14T14:00:31Z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