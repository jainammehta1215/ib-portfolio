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omps" sheetId="2" state="visible" r:id="rId4"/>
    <sheet name="Take-Private Screen" sheetId="3" state="visible" r:id="rId5"/>
    <sheet name="Bank Screen" sheetId="4" state="visible" r:id="rId6"/>
    <sheet name="Situational Screen" sheetId="5" state="visible" r:id="rId7"/>
    <sheet name="Data Quality" sheetId="6" state="visible" r:id="rId8"/>
    <sheet name="Dashboard" sheetId="7" state="visible" r:id="rId9"/>
    <sheet name="Checks" sheetId="8" state="visible" r:id="rId10"/>
  </sheets>
  <definedNames>
    <definedName function="false" hidden="false" localSheetId="3" name="_xlnm.Print_Area" vbProcedure="false">'Bank Screen'!$A$1:$I$15</definedName>
    <definedName function="false" hidden="false" localSheetId="7" name="_xlnm.Print_Area" vbProcedure="false">Checks!$A$1:$E$17</definedName>
    <definedName function="false" hidden="false" localSheetId="1" name="_xlnm.Print_Area" vbProcedure="false">Comps!$A$1:$P$69</definedName>
    <definedName function="false" hidden="false" localSheetId="0" name="_xlnm.Print_Area" vbProcedure="false">Cover!$A$1:$F$45</definedName>
    <definedName function="false" hidden="false" localSheetId="6" name="_xlnm.Print_Area" vbProcedure="false">Dashboard!$A$1:$J$2</definedName>
    <definedName function="false" hidden="false" localSheetId="5" name="_xlnm.Print_Area" vbProcedure="false">'Data Quality'!$A$1:$F$21</definedName>
    <definedName function="false" hidden="false" localSheetId="4" name="_xlnm.Print_Area" vbProcedure="false">'Situational Screen'!$A$1:$I$22</definedName>
    <definedName function="false" hidden="false" localSheetId="2" name="_xlnm.Print_Area" vbProcedure="false">'Take-Private Screen'!$A$1:$J$10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<sst xmlns="http://schemas.openxmlformats.org/spreadsheetml/2006/main" count="409" uniqueCount="168">
  <si>
    <t xml:space="preserve">IB PORTFOLIO · PROJECT 19 OF 20</t>
  </si>
  <si>
    <t xml:space="preserve">DFM · ADX · Tadawul · NSE · US</t>
  </si>
  <si>
    <t xml:space="preserve">Deal-Sourcing and Comps-Refresh Dashboard</t>
  </si>
  <si>
    <t xml:space="preserve">Jainam Mehta   ·   US$ millions unless stated   ·   as of snapshot 2026-09-18</t>
  </si>
  <si>
    <t xml:space="preserve">What this is</t>
  </si>
  <si>
    <t xml:space="preserve">A deal-sourcing and comps-refresh dashboard across 52 names on the DFM, ADX, Tadawul, NSE and US exchanges, built as a Python script that normalises vendor data to US dollars, recomputes every multiple from its components, flags what the vendor got wrong, and runs four screens a coverage desk uses: take-private candidates, value against quality, banks on P/B and ROE, and drawdowns.</t>
  </si>
  <si>
    <t xml:space="preserve">How it is built</t>
  </si>
  <si>
    <t xml:space="preserve">•  universe.csv defines the names, regions and sectors; snapshot.json holds the vendor fields and FX rates for a reproducible offline build; --refresh pulls live data.</t>
  </si>
  <si>
    <t xml:space="preserve">•  Each record is normalised in its own currencies (price currency for market cap, financial currency for the statements), EV is rebuilt from components, and the vendor's multiple is compared with a 25% tolerance.</t>
  </si>
  <si>
    <t xml:space="preserve">•  Screens: below-sector-median EV/EBITDA with FCF yield above 6% and leverage below 1.5x; P/B against ROE with the justified line from Project 11; more than 25% below the 52-week high.</t>
  </si>
  <si>
    <t xml:space="preserve">•  The Excel dashboard is written through ibkit; the four-chart panel is regenerated on every run.</t>
  </si>
  <si>
    <t xml:space="preserve">Contents</t>
  </si>
  <si>
    <t xml:space="preserve">Dashboard  —  the four charts</t>
  </si>
  <si>
    <t xml:space="preserve">Comps  —  all names, US$ basis, recomputed and vendor multiples, flags, sector medians</t>
  </si>
  <si>
    <t xml:space="preserve">Take-Private Screen  —  cheap, cash-generative, under-levered</t>
  </si>
  <si>
    <t xml:space="preserve">Bank Screen  —  P/B against ROE and the justified multiple</t>
  </si>
  <si>
    <t xml:space="preserve">Situational Screen  —  drawdowns</t>
  </si>
  <si>
    <t xml:space="preserve">Data Quality  —  what the vendor got wrong</t>
  </si>
  <si>
    <t xml:space="preserve">Checks  —  nine tests; must read MODEL OK</t>
  </si>
  <si>
    <t xml:space="preserve">Key outputs (live)</t>
  </si>
  <si>
    <t xml:space="preserve">Names in the universe</t>
  </si>
  <si>
    <t xml:space="preserve">Usable records</t>
  </si>
  <si>
    <t xml:space="preserve">Records flagged</t>
  </si>
  <si>
    <t xml:space="preserve">Take-private candidates</t>
  </si>
  <si>
    <t xml:space="preserve">Banks screened</t>
  </si>
  <si>
    <t xml:space="preserve">Names &gt;25% off the high</t>
  </si>
  <si>
    <t xml:space="preserve">Colour code</t>
  </si>
  <si>
    <t xml:space="preserve">Blue = hard-coded input</t>
  </si>
  <si>
    <t xml:space="preserve">Black = formula</t>
  </si>
  <si>
    <t xml:space="preserve">Green = link to another sheet</t>
  </si>
  <si>
    <t xml:space="preserve">Accent fill = scenario selector / key levers</t>
  </si>
  <si>
    <t xml:space="preserve">Sources</t>
  </si>
  <si>
    <t xml:space="preserve">Vendor fields from Yahoo Finance via yfinance, snapshot 18 September 2026; FX from the same source. Universe, thresholds and the cost of equity for the bank line are stated in the script.</t>
  </si>
  <si>
    <t xml:space="preserve">A screen is a list of places to look. Nothing here is a recommendation or a suggestion that any company is in a process.</t>
  </si>
  <si>
    <t xml:space="preserve">Prepared by</t>
  </si>
  <si>
    <t xml:space="preserve">Jainam Mehta · github.com/jainammehta1215/ib-portfolio</t>
  </si>
  <si>
    <t xml:space="preserve">DFM · ADX · Tadawul · NSE · US — Deal-Sourcing and Comps-Refresh Dashboard</t>
  </si>
  <si>
    <t xml:space="preserve">IB PORTFOLIO</t>
  </si>
  <si>
    <t xml:space="preserve">Every name in the universe, normalised to US$ and recomputed from components</t>
  </si>
  <si>
    <t xml:space="preserve">TRADING COMPARABLES</t>
  </si>
  <si>
    <t xml:space="preserve">Company</t>
  </si>
  <si>
    <t xml:space="preserve">Region</t>
  </si>
  <si>
    <t xml:space="preserve">Sector</t>
  </si>
  <si>
    <t xml:space="preserve">Mkt cap</t>
  </si>
  <si>
    <t xml:space="preserve">EV</t>
  </si>
  <si>
    <t xml:space="preserve">EBITDA</t>
  </si>
  <si>
    <t xml:space="preserve">EV/EBITDA</t>
  </si>
  <si>
    <t xml:space="preserve">Vendor</t>
  </si>
  <si>
    <t xml:space="preserve">P/E</t>
  </si>
  <si>
    <t xml:space="preserve">FCF yield</t>
  </si>
  <si>
    <t xml:space="preserve">Net debt/EBITDA</t>
  </si>
  <si>
    <t xml:space="preserve">Margin</t>
  </si>
  <si>
    <t xml:space="preserve">P/B</t>
  </si>
  <si>
    <t xml:space="preserve">ROE</t>
  </si>
  <si>
    <t xml:space="preserve">Drawdown</t>
  </si>
  <si>
    <t xml:space="preserve">Flags</t>
  </si>
  <si>
    <t xml:space="preserve">Al Rajhi Bank</t>
  </si>
  <si>
    <t xml:space="preserve">Gulf</t>
  </si>
  <si>
    <t xml:space="preserve">Banks</t>
  </si>
  <si>
    <t xml:space="preserve">Saudi Aramco</t>
  </si>
  <si>
    <t xml:space="preserve">Energy</t>
  </si>
  <si>
    <t xml:space="preserve">Saudi Electricity</t>
  </si>
  <si>
    <t xml:space="preserve">Utilities</t>
  </si>
  <si>
    <t xml:space="preserve">HDFC Bank</t>
  </si>
  <si>
    <t xml:space="preserve">India</t>
  </si>
  <si>
    <t xml:space="preserve">ICICI Bank</t>
  </si>
  <si>
    <t xml:space="preserve">Kotak Mahindra Bank</t>
  </si>
  <si>
    <t xml:space="preserve">Britannia</t>
  </si>
  <si>
    <t xml:space="preserve">Consumer</t>
  </si>
  <si>
    <t xml:space="preserve">Dabur</t>
  </si>
  <si>
    <t xml:space="preserve">Hindustan Unilever</t>
  </si>
  <si>
    <t xml:space="preserve">Marico</t>
  </si>
  <si>
    <t xml:space="preserve">BPCL</t>
  </si>
  <si>
    <t xml:space="preserve">ONGC</t>
  </si>
  <si>
    <t xml:space="preserve">Reliance Industries</t>
  </si>
  <si>
    <t xml:space="preserve">HCL Technologies</t>
  </si>
  <si>
    <t xml:space="preserve">IT services</t>
  </si>
  <si>
    <t xml:space="preserve">price in INR, financials in USD: converted separately; vendor EV/EBITDA 1217.9x vs recomputed 11.8x</t>
  </si>
  <si>
    <t xml:space="preserve">Infosys</t>
  </si>
  <si>
    <t xml:space="preserve">price in INR, financials in USD: converted separately; vendor EV/EBITDA 956.0x vs recomputed 9.4x</t>
  </si>
  <si>
    <t xml:space="preserve">TCS</t>
  </si>
  <si>
    <t xml:space="preserve">Wipro</t>
  </si>
  <si>
    <t xml:space="preserve">IRB Infrastructure</t>
  </si>
  <si>
    <t xml:space="preserve">Infrastructure</t>
  </si>
  <si>
    <t xml:space="preserve">Avenue Supermarts</t>
  </si>
  <si>
    <t xml:space="preserve">Retail</t>
  </si>
  <si>
    <t xml:space="preserve">Trent</t>
  </si>
  <si>
    <t xml:space="preserve">Bharti Airtel</t>
  </si>
  <si>
    <t xml:space="preserve">Telecom</t>
  </si>
  <si>
    <t xml:space="preserve">ADCB</t>
  </si>
  <si>
    <t xml:space="preserve">UAE</t>
  </si>
  <si>
    <t xml:space="preserve">NO DATA</t>
  </si>
  <si>
    <t xml:space="preserve">Dubai Islamic Bank</t>
  </si>
  <si>
    <t xml:space="preserve">Emirates NBD</t>
  </si>
  <si>
    <t xml:space="preserve">First Abu Dhabi Bank</t>
  </si>
  <si>
    <t xml:space="preserve">Mashreqbank</t>
  </si>
  <si>
    <t xml:space="preserve">Salik</t>
  </si>
  <si>
    <t xml:space="preserve">P/B not meaningful (negative or tiny book)</t>
  </si>
  <si>
    <t xml:space="preserve">Aldar Properties</t>
  </si>
  <si>
    <t xml:space="preserve">Real estate</t>
  </si>
  <si>
    <t xml:space="preserve">Emaar Development</t>
  </si>
  <si>
    <t xml:space="preserve">vendor EV/EBITDA 0.8x vs recomputed 0.5x; EV/EBITDA not meaningful for developers: customer advances sit in cash and shrink EV; screen on P/B or NAV (Project 13)</t>
  </si>
  <si>
    <t xml:space="preserve">Emaar Properties</t>
  </si>
  <si>
    <t xml:space="preserve">EV/EBITDA not meaningful for developers: customer advances sit in cash and shrink EV; screen on P/B or NAV (Project 13)</t>
  </si>
  <si>
    <t xml:space="preserve">du</t>
  </si>
  <si>
    <t xml:space="preserve">e&amp; (Etisalat)</t>
  </si>
  <si>
    <t xml:space="preserve">DEWA</t>
  </si>
  <si>
    <t xml:space="preserve">Empower</t>
  </si>
  <si>
    <t xml:space="preserve">Tabreed</t>
  </si>
  <si>
    <t xml:space="preserve">Bank of America</t>
  </si>
  <si>
    <t xml:space="preserve">US</t>
  </si>
  <si>
    <t xml:space="preserve">JPMorgan Chase</t>
  </si>
  <si>
    <t xml:space="preserve">Chevron</t>
  </si>
  <si>
    <t xml:space="preserve">ExxonMobil</t>
  </si>
  <si>
    <t xml:space="preserve">Valero</t>
  </si>
  <si>
    <t xml:space="preserve">Accenture</t>
  </si>
  <si>
    <t xml:space="preserve">Cognizant</t>
  </si>
  <si>
    <t xml:space="preserve">EPAM Systems</t>
  </si>
  <si>
    <t xml:space="preserve">Costco</t>
  </si>
  <si>
    <t xml:space="preserve">Target</t>
  </si>
  <si>
    <t xml:space="preserve">Walmart</t>
  </si>
  <si>
    <t xml:space="preserve">Apple</t>
  </si>
  <si>
    <t xml:space="preserve">Technology</t>
  </si>
  <si>
    <t xml:space="preserve">Microsoft</t>
  </si>
  <si>
    <t xml:space="preserve">AT&amp;T</t>
  </si>
  <si>
    <t xml:space="preserve">Verizon</t>
  </si>
  <si>
    <t xml:space="preserve">Consolidated Edison</t>
  </si>
  <si>
    <t xml:space="preserve">Duke Energy</t>
  </si>
  <si>
    <t xml:space="preserve">SECTOR MEDIANS — EV/EBITDA, non-financials (live from the table)</t>
  </si>
  <si>
    <t xml:space="preserve">EV and EV/EBITDA are recomputed as market cap + debt − cash over EBITDA, each converted from its own currency. The Vendor column is the data provider's figure; a red flag names the disagreement. Infosys and HCL are the standing example: financials in dollars, market cap in rupees, so the vendor multiple is a thousand times too high.</t>
  </si>
  <si>
    <t xml:space="preserve">Below sector median EV/EBITDA, FCF yield above 6%, net debt below 1.5x EBITDA</t>
  </si>
  <si>
    <t xml:space="preserve">TAKE-PRIVATE SCREEN</t>
  </si>
  <si>
    <t xml:space="preserve">Discount to sector median</t>
  </si>
  <si>
    <t xml:space="preserve">EBITDA margin</t>
  </si>
  <si>
    <t xml:space="preserve">Mkt cap US$m</t>
  </si>
  <si>
    <t xml:space="preserve">The screen that found Cognizant for Project 7. Real-estate developers are excluded because customer advances make EV/EBITDA meaningless for them (see the flag on the Comps sheet). A name appears when the market is capitalising its cash flow below its peers and the balance sheet can carry acquisition debt. It is a list of places to look, not a list of deals: the next step is the shareholder register and the reason for the discount.</t>
  </si>
  <si>
    <t xml:space="preserve">P/B against ROE, with the justified P/B from Project 11 at a 10% cost of equity and 3% growth</t>
  </si>
  <si>
    <t xml:space="preserve">BANK SCREEN</t>
  </si>
  <si>
    <t xml:space="preserve">Justified P/B</t>
  </si>
  <si>
    <t xml:space="preserve">P/B vs justified</t>
  </si>
  <si>
    <t xml:space="preserve">A bank trading well below its justified multiple is either earning an unsustainable return or being discounted at a rate the country-risk build-up does not capture — Project 11's finding for Emirates NBD. A single cost of equity is applied to four markets here for comparability; a real screen would use one per market.</t>
  </si>
  <si>
    <t xml:space="preserve">More than 25% below the 52-week high</t>
  </si>
  <si>
    <t xml:space="preserve">SITUATIONAL SCREEN</t>
  </si>
  <si>
    <t xml:space="preserve">Price (local)</t>
  </si>
  <si>
    <t xml:space="preserve">52-wk high</t>
  </si>
  <si>
    <t xml:space="preserve">Drawdowns are where activism, take-privates and rights issues come from. The list is sorted by the size of the fall; the question for each name is whether the fall is the sector's or the company's.</t>
  </si>
  <si>
    <t xml:space="preserve">What the vendor got wrong, and what the dashboard did about it</t>
  </si>
  <si>
    <t xml:space="preserve">FLAGS</t>
  </si>
  <si>
    <t xml:space="preserve">vendor returned no record</t>
  </si>
  <si>
    <t xml:space="preserve">Names with a usable record</t>
  </si>
  <si>
    <t xml:space="preserve">Names with at least one flag</t>
  </si>
  <si>
    <t xml:space="preserve">Names whose financials are in a different currency from their price</t>
  </si>
  <si>
    <t xml:space="preserve">Names where the vendor multiple disagrees with the recomputed one by more than 25%</t>
  </si>
  <si>
    <t xml:space="preserve">A comps refresh that trusts the vendor's multiples is not a refresh. Roughly one name in eight in this universe has a currency mismatch or a multiple that does not reconcile to its own components; two of the largest Indian IT companies would appear at a thousand times EBITDA. Recomputing from components is the whole point of the script.</t>
  </si>
  <si>
    <t xml:space="preserve">Four charts — regenerated from the table on every run</t>
  </si>
  <si>
    <t xml:space="preserve">Every check must read TRUE</t>
  </si>
  <si>
    <t xml:space="preserve">INTEGRITY CHECKS</t>
  </si>
  <si>
    <t xml:space="preserve">Every usable record has a positive market capitalisation</t>
  </si>
  <si>
    <t xml:space="preserve">Recomputed EV/EBITDA on the Comps sheet equals (EV − net debt basis) for every name with EBITDA</t>
  </si>
  <si>
    <t xml:space="preserve">Take-private screen names all sit below their sector median</t>
  </si>
  <si>
    <t xml:space="preserve">Take-private screen names all clear the FCF-yield and leverage thresholds</t>
  </si>
  <si>
    <t xml:space="preserve">No usable record has a currency mismatch left unconverted (all EV in US$)</t>
  </si>
  <si>
    <t xml:space="preserve">Infosys and HCL recomputed multiples are below 40x (the vendor figure is ~1,000x)</t>
  </si>
  <si>
    <t xml:space="preserve">Usable records are at least 90% of the universe</t>
  </si>
  <si>
    <t xml:space="preserve">Sector medians on the Comps sheet evaluate to numbers</t>
  </si>
  <si>
    <t xml:space="preserve">Snapshot FX rates are present for INR, AED and SAR</t>
  </si>
  <si>
    <t xml:space="preserve">MODEL STATUS</t>
  </si>
  <si>
    <t xml:space="preserve">Several checks are evaluated in Python at build time and written as constants, because the screens themselves are computed in Python; the live checks test the Comps sheet's own formulas.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</si>
</sst>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@"/>
    <numFmt numFmtId="167" formatCode="#,##0;\(#,##0\);\-"/>
    <numFmt numFmtId="168" formatCode="0.0\x"/>
    <numFmt numFmtId="169" formatCode="0.0%;\(0.0%\);\-"/>
    <numFmt numFmtId="170" formatCode="#,##0.00;\(#,##0.00\);\-"/>
    <numFmt numFmtId="171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0392B"/>
      <name val="Arial"/>
      <family val="0"/>
      <charset val="1"/>
    </font>
    <font>
      <b val="true"/>
      <sz val="24"/>
      <color rgb="FF1F3A5F"/>
      <name val="Arial"/>
      <family val="0"/>
      <charset val="1"/>
    </font>
    <font>
      <sz val="15"/>
      <color rgb="FF5F6B7A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C0392B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0392B"/>
        <bgColor rgb="FF993366"/>
      </patternFill>
    </fill>
    <fill>
      <patternFill patternType="solid">
        <fgColor rgb="FFECF0F4"/>
        <bgColor rgb="FFFFFFFF"/>
      </patternFill>
    </fill>
    <fill>
      <patternFill patternType="solid">
        <fgColor rgb="FF5F6B7A"/>
        <bgColor rgb="FF7F7F7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ECF0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7A"/>
      <rgbColor rgb="FF969696"/>
      <rgbColor rgb="FF1F3A5F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0</xdr:rowOff>
    </xdr:from>
    <xdr:to>
      <xdr:col>10</xdr:col>
      <xdr:colOff>37800</xdr:colOff>
      <xdr:row>38</xdr:row>
      <xdr:rowOff>190440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76400" y="800280"/>
          <a:ext cx="9905760" cy="6857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Comps_Dashboard.xlsx" TargetMode="External"/><Relationship Id="rId2" Type="http://schemas.openxmlformats.org/officeDocument/2006/relationships/hyperlink" Target="Comps_Dashboard.xlsx" TargetMode="External"/><Relationship Id="rId3" Type="http://schemas.openxmlformats.org/officeDocument/2006/relationships/hyperlink" Target="Comps_Dashboard.xlsx" TargetMode="External"/><Relationship Id="rId4" Type="http://schemas.openxmlformats.org/officeDocument/2006/relationships/hyperlink" Target="Comps_Dashboard.xlsx" TargetMode="External"/><Relationship Id="rId5" Type="http://schemas.openxmlformats.org/officeDocument/2006/relationships/hyperlink" Target="Comps_Dashboard.xlsx" TargetMode="External"/><Relationship Id="rId6" Type="http://schemas.openxmlformats.org/officeDocument/2006/relationships/hyperlink" Target="Comps_Dashboard.xlsx" TargetMode="External"/><Relationship Id="rId7" Type="http://schemas.openxmlformats.org/officeDocument/2006/relationships/hyperlink" Target="Comps_Dashboard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3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7.5" hidden="false" customHeight="true" outlineLevel="0" collapsed="false">
      <c r="A1" s="1"/>
    </row>
    <row r="2" customFormat="false" ht="15" hidden="false" customHeight="false" outlineLevel="0" collapsed="false">
      <c r="A2" s="1"/>
    </row>
    <row r="3" customFormat="false" ht="15" hidden="false" customHeight="false" outlineLevel="0" collapsed="false">
      <c r="A3" s="1"/>
      <c r="B3" s="2" t="s">
        <v>0</v>
      </c>
    </row>
    <row r="4" customFormat="false" ht="31.5" hidden="false" customHeight="true" outlineLevel="0" collapsed="false">
      <c r="A4" s="1"/>
      <c r="B4" s="3" t="s">
        <v>1</v>
      </c>
    </row>
    <row r="5" customFormat="false" ht="21.75" hidden="false" customHeight="true" outlineLevel="0" collapsed="false">
      <c r="A5" s="1"/>
      <c r="B5" s="4" t="s">
        <v>2</v>
      </c>
    </row>
    <row r="6" customFormat="false" ht="15" hidden="false" customHeight="false" outlineLevel="0" collapsed="false">
      <c r="A6" s="1"/>
      <c r="B6" s="5" t="s">
        <v>3</v>
      </c>
    </row>
    <row r="7" customFormat="false" ht="3" hidden="false" customHeight="true" outlineLevel="0" collapsed="false">
      <c r="A7" s="1"/>
      <c r="B7" s="6"/>
      <c r="C7" s="6"/>
      <c r="D7" s="6"/>
      <c r="E7" s="6"/>
      <c r="F7" s="6"/>
    </row>
    <row r="8" customFormat="false" ht="15" hidden="false" customHeight="false" outlineLevel="0" collapsed="false">
      <c r="A8" s="1"/>
    </row>
    <row r="9" customFormat="false" ht="75" hidden="false" customHeight="true" outlineLevel="0" collapsed="false">
      <c r="A9" s="1"/>
      <c r="B9" s="7" t="s">
        <v>4</v>
      </c>
      <c r="C9" s="8" t="s">
        <v>5</v>
      </c>
      <c r="D9" s="8"/>
      <c r="E9" s="8"/>
      <c r="F9" s="8"/>
    </row>
    <row r="10" customFormat="false" ht="15" hidden="false" customHeight="false" outlineLevel="0" collapsed="false">
      <c r="A10" s="1"/>
    </row>
    <row r="11" customFormat="false" ht="30" hidden="false" customHeight="true" outlineLevel="0" collapsed="false">
      <c r="A11" s="1"/>
      <c r="B11" s="7" t="s">
        <v>6</v>
      </c>
      <c r="C11" s="8" t="s">
        <v>7</v>
      </c>
      <c r="D11" s="8"/>
      <c r="E11" s="8"/>
      <c r="F11" s="8"/>
    </row>
    <row r="12" customFormat="false" ht="45" hidden="false" customHeight="true" outlineLevel="0" collapsed="false">
      <c r="A12" s="1"/>
      <c r="C12" s="8" t="s">
        <v>8</v>
      </c>
      <c r="D12" s="8"/>
      <c r="E12" s="8"/>
      <c r="F12" s="8"/>
    </row>
    <row r="13" customFormat="false" ht="30" hidden="false" customHeight="true" outlineLevel="0" collapsed="false">
      <c r="A13" s="1"/>
      <c r="C13" s="8" t="s">
        <v>9</v>
      </c>
      <c r="D13" s="8"/>
      <c r="E13" s="8"/>
      <c r="F13" s="8"/>
    </row>
    <row r="14" customFormat="false" ht="30" hidden="false" customHeight="true" outlineLevel="0" collapsed="false">
      <c r="A14" s="1"/>
      <c r="C14" s="8" t="s">
        <v>10</v>
      </c>
      <c r="D14" s="8"/>
      <c r="E14" s="8"/>
      <c r="F14" s="8"/>
    </row>
    <row r="15" customFormat="false" ht="15" hidden="false" customHeight="false" outlineLevel="0" collapsed="false">
      <c r="A15" s="1"/>
    </row>
    <row r="16" customFormat="false" ht="15" hidden="false" customHeight="false" outlineLevel="0" collapsed="false">
      <c r="A16" s="1"/>
      <c r="B16" s="7" t="s">
        <v>11</v>
      </c>
      <c r="C16" s="9" t="s">
        <v>12</v>
      </c>
      <c r="D16" s="9"/>
      <c r="E16" s="9"/>
      <c r="F16" s="9"/>
    </row>
    <row r="17" customFormat="false" ht="15" hidden="false" customHeight="false" outlineLevel="0" collapsed="false">
      <c r="A17" s="1"/>
      <c r="C17" s="9" t="s">
        <v>13</v>
      </c>
      <c r="D17" s="9"/>
      <c r="E17" s="9"/>
      <c r="F17" s="9"/>
    </row>
    <row r="18" customFormat="false" ht="15" hidden="false" customHeight="false" outlineLevel="0" collapsed="false">
      <c r="A18" s="1"/>
      <c r="C18" s="9" t="s">
        <v>14</v>
      </c>
      <c r="D18" s="9"/>
      <c r="E18" s="9"/>
      <c r="F18" s="9"/>
    </row>
    <row r="19" customFormat="false" ht="15" hidden="false" customHeight="false" outlineLevel="0" collapsed="false">
      <c r="A19" s="1"/>
      <c r="C19" s="9" t="s">
        <v>15</v>
      </c>
      <c r="D19" s="9"/>
      <c r="E19" s="9"/>
      <c r="F19" s="9"/>
    </row>
    <row r="20" customFormat="false" ht="15" hidden="false" customHeight="false" outlineLevel="0" collapsed="false">
      <c r="A20" s="1"/>
      <c r="C20" s="9" t="s">
        <v>16</v>
      </c>
      <c r="D20" s="9"/>
      <c r="E20" s="9"/>
      <c r="F20" s="9"/>
    </row>
    <row r="21" customFormat="false" ht="15" hidden="false" customHeight="false" outlineLevel="0" collapsed="false">
      <c r="A21" s="1"/>
      <c r="C21" s="9" t="s">
        <v>17</v>
      </c>
      <c r="D21" s="9"/>
      <c r="E21" s="9"/>
      <c r="F21" s="9"/>
    </row>
    <row r="22" customFormat="false" ht="15" hidden="false" customHeight="false" outlineLevel="0" collapsed="false">
      <c r="A22" s="1"/>
      <c r="C22" s="9" t="s">
        <v>18</v>
      </c>
      <c r="D22" s="9"/>
      <c r="E22" s="9"/>
      <c r="F22" s="9"/>
    </row>
    <row r="23" customFormat="false" ht="15" hidden="false" customHeight="false" outlineLevel="0" collapsed="false">
      <c r="A23" s="1"/>
    </row>
    <row r="24" customFormat="false" ht="15" hidden="false" customHeight="false" outlineLevel="0" collapsed="false">
      <c r="A24" s="1"/>
      <c r="B24" s="7" t="s">
        <v>19</v>
      </c>
      <c r="C24" s="10" t="s">
        <v>20</v>
      </c>
      <c r="D24" s="11"/>
      <c r="E24" s="12" t="n">
        <f aca="false">'Data Quality'!$C$16</f>
        <v>52</v>
      </c>
    </row>
    <row r="25" customFormat="false" ht="15" hidden="false" customHeight="false" outlineLevel="0" collapsed="false">
      <c r="A25" s="1"/>
      <c r="C25" s="10" t="s">
        <v>21</v>
      </c>
      <c r="D25" s="11"/>
      <c r="E25" s="12" t="n">
        <f aca="false">'Data Quality'!$C$17</f>
        <v>48</v>
      </c>
    </row>
    <row r="26" customFormat="false" ht="15" hidden="false" customHeight="false" outlineLevel="0" collapsed="false">
      <c r="A26" s="1"/>
      <c r="C26" s="10" t="s">
        <v>22</v>
      </c>
      <c r="D26" s="11"/>
      <c r="E26" s="12" t="n">
        <f aca="false">'Data Quality'!$C$18</f>
        <v>10</v>
      </c>
    </row>
    <row r="27" customFormat="false" ht="15" hidden="false" customHeight="false" outlineLevel="0" collapsed="false">
      <c r="A27" s="1"/>
      <c r="C27" s="10" t="s">
        <v>23</v>
      </c>
      <c r="D27" s="11"/>
      <c r="E27" s="12" t="n">
        <v>3</v>
      </c>
    </row>
    <row r="28" customFormat="false" ht="15" hidden="false" customHeight="false" outlineLevel="0" collapsed="false">
      <c r="A28" s="1"/>
      <c r="C28" s="10" t="s">
        <v>24</v>
      </c>
      <c r="D28" s="11"/>
      <c r="E28" s="12" t="n">
        <v>8</v>
      </c>
    </row>
    <row r="29" customFormat="false" ht="15" hidden="false" customHeight="false" outlineLevel="0" collapsed="false">
      <c r="A29" s="1"/>
      <c r="C29" s="10" t="s">
        <v>25</v>
      </c>
      <c r="D29" s="11"/>
      <c r="E29" s="12" t="n">
        <v>15</v>
      </c>
    </row>
    <row r="30" customFormat="false" ht="15" hidden="false" customHeight="false" outlineLevel="0" collapsed="false">
      <c r="A30" s="1"/>
    </row>
    <row r="31" customFormat="false" ht="15" hidden="false" customHeight="false" outlineLevel="0" collapsed="false">
      <c r="A31" s="1"/>
      <c r="B31" s="7" t="s">
        <v>26</v>
      </c>
      <c r="C31" s="13" t="s">
        <v>27</v>
      </c>
    </row>
    <row r="32" customFormat="false" ht="15" hidden="false" customHeight="false" outlineLevel="0" collapsed="false">
      <c r="A32" s="1"/>
      <c r="C32" s="14" t="s">
        <v>28</v>
      </c>
    </row>
    <row r="33" customFormat="false" ht="15" hidden="false" customHeight="false" outlineLevel="0" collapsed="false">
      <c r="A33" s="1"/>
      <c r="C33" s="15" t="s">
        <v>29</v>
      </c>
    </row>
    <row r="34" customFormat="false" ht="15" hidden="false" customHeight="false" outlineLevel="0" collapsed="false">
      <c r="A34" s="1"/>
      <c r="C34" s="16" t="s">
        <v>30</v>
      </c>
    </row>
    <row r="35" customFormat="false" ht="15" hidden="false" customHeight="false" outlineLevel="0" collapsed="false">
      <c r="A35" s="1"/>
    </row>
    <row r="36" customFormat="false" ht="27.75" hidden="false" customHeight="true" outlineLevel="0" collapsed="false">
      <c r="A36" s="1"/>
      <c r="B36" s="7" t="s">
        <v>31</v>
      </c>
      <c r="C36" s="17" t="s">
        <v>32</v>
      </c>
      <c r="D36" s="17"/>
      <c r="E36" s="17"/>
      <c r="F36" s="17"/>
    </row>
    <row r="37" customFormat="false" ht="27.75" hidden="false" customHeight="true" outlineLevel="0" collapsed="false">
      <c r="A37" s="1"/>
      <c r="C37" s="17" t="s">
        <v>33</v>
      </c>
      <c r="D37" s="17"/>
      <c r="E37" s="17"/>
      <c r="F37" s="17"/>
    </row>
    <row r="38" customFormat="false" ht="15" hidden="false" customHeight="false" outlineLevel="0" collapsed="false">
      <c r="A38" s="1"/>
    </row>
    <row r="39" customFormat="false" ht="15" hidden="false" customHeight="false" outlineLevel="0" collapsed="false">
      <c r="A39" s="1"/>
      <c r="B39" s="7" t="s">
        <v>34</v>
      </c>
      <c r="C39" s="18" t="s">
        <v>35</v>
      </c>
    </row>
    <row r="40" customFormat="false" ht="15" hidden="false" customHeight="false" outlineLevel="0" collapsed="false">
      <c r="A40" s="1"/>
    </row>
    <row r="41" customFormat="false" ht="15" hidden="false" customHeight="false" outlineLevel="0" collapsed="false">
      <c r="A41" s="1"/>
    </row>
    <row r="42" customFormat="false" ht="15" hidden="false" customHeight="false" outlineLevel="0" collapsed="false">
      <c r="A42" s="1"/>
    </row>
    <row r="43" customFormat="false" ht="15" hidden="false" customHeight="false" outlineLevel="0" collapsed="false">
      <c r="A43" s="1"/>
    </row>
    <row r="44" customFormat="false" ht="15" hidden="false" customHeight="false" outlineLevel="0" collapsed="false">
      <c r="A44" s="1"/>
    </row>
    <row r="45" customFormat="false" ht="15" hidden="false" customHeight="false" outlineLevel="0" collapsed="false">
      <c r="A45" s="1"/>
    </row>
  </sheetData>
  <mergeCells count="14">
    <mergeCell ref="C9:F9"/>
    <mergeCell ref="C11:F11"/>
    <mergeCell ref="C12:F12"/>
    <mergeCell ref="C13:F13"/>
    <mergeCell ref="C14:F14"/>
    <mergeCell ref="C16:F16"/>
    <mergeCell ref="C17:F17"/>
    <mergeCell ref="C18:F18"/>
    <mergeCell ref="C19:F19"/>
    <mergeCell ref="C20:F20"/>
    <mergeCell ref="C21:F21"/>
    <mergeCell ref="C22:F22"/>
    <mergeCell ref="C36:F36"/>
    <mergeCell ref="C37:F37"/>
  </mergeCells>
  <hyperlinks>
    <hyperlink ref="C16" r:id="rId1" location="'Dashboard'!A1" display="Dashboard  —  the four charts"/>
    <hyperlink ref="C17" r:id="rId2" location="'Comps'!A1" display="Comps  —  all names, US$ basis, recomputed and vendor multiples, flags, sector medians"/>
    <hyperlink ref="C18" r:id="rId3" location="'Take-Private%20Screen'!A1" display="Take-Private Screen  —  cheap, cash-generative, under-levered"/>
    <hyperlink ref="C19" r:id="rId4" location="'Bank%20Screen'!A1" display="Bank Screen  —  P/B against ROE and the justified multiple"/>
    <hyperlink ref="C20" r:id="rId5" location="'Situational%20Screen'!A1" display="Situational Screen  —  drawdowns"/>
    <hyperlink ref="C21" r:id="rId6" location="'Data%20Quality'!A1" display="Data Quality  —  what the vendor got wrong"/>
    <hyperlink ref="C22" r:id="rId7" location="'Checks'!A1" display="Checks  —  nine tests; must read MODEL OK"/>
  </hyperlink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&amp;L&amp;"Arial,Bold"&amp;8DFM · ADX · Tadawul · NSE · US — Deal-Sourcing and Comps-Refresh Dashboard&amp;R&amp;"Arial,Regular"&amp;8Cover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15" min="3" style="0" width="10.51"/>
    <col collapsed="false" customWidth="true" hidden="false" outlineLevel="0" max="16" min="16" style="0" width="52"/>
  </cols>
  <sheetData>
    <row r="1" customFormat="false" ht="30" hidden="false" customHeight="true" outlineLevel="0" collapsed="false">
      <c r="A1" s="1"/>
      <c r="B1" s="19" t="s">
        <v>36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0" t="s">
        <v>37</v>
      </c>
    </row>
    <row r="2" customFormat="false" ht="18" hidden="false" customHeight="true" outlineLevel="0" collapsed="false">
      <c r="A2" s="1"/>
      <c r="B2" s="21" t="s">
        <v>38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customFormat="false" ht="15.75" hidden="false" customHeight="true" outlineLevel="0" collapsed="false">
      <c r="B4" s="22" t="s">
        <v>39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7.75" hidden="false" customHeight="true" outlineLevel="0" collapsed="false">
      <c r="B5" s="23" t="s">
        <v>40</v>
      </c>
      <c r="C5" s="24" t="s">
        <v>41</v>
      </c>
      <c r="D5" s="24" t="s">
        <v>42</v>
      </c>
      <c r="E5" s="24" t="s">
        <v>43</v>
      </c>
      <c r="F5" s="24" t="s">
        <v>44</v>
      </c>
      <c r="G5" s="24" t="s">
        <v>45</v>
      </c>
      <c r="H5" s="24" t="s">
        <v>46</v>
      </c>
      <c r="I5" s="24" t="s">
        <v>47</v>
      </c>
      <c r="J5" s="24" t="s">
        <v>48</v>
      </c>
      <c r="K5" s="24" t="s">
        <v>49</v>
      </c>
      <c r="L5" s="24" t="s">
        <v>50</v>
      </c>
      <c r="M5" s="24" t="s">
        <v>51</v>
      </c>
      <c r="N5" s="24" t="s">
        <v>52</v>
      </c>
      <c r="O5" s="24" t="s">
        <v>53</v>
      </c>
      <c r="P5" s="24" t="s">
        <v>54</v>
      </c>
      <c r="Q5" s="24" t="s">
        <v>55</v>
      </c>
    </row>
    <row r="6" customFormat="false" ht="15" hidden="false" customHeight="false" outlineLevel="0" collapsed="false">
      <c r="B6" s="18" t="s">
        <v>56</v>
      </c>
      <c r="C6" s="25" t="s">
        <v>57</v>
      </c>
      <c r="D6" s="25" t="s">
        <v>58</v>
      </c>
      <c r="E6" s="26" t="n">
        <v>105420.080563056</v>
      </c>
      <c r="F6" s="26" t="n">
        <v>112988.180730261</v>
      </c>
      <c r="G6" s="26"/>
      <c r="H6" s="27"/>
      <c r="I6" s="28"/>
      <c r="J6" s="27" t="n">
        <v>15.8504102052838</v>
      </c>
      <c r="K6" s="29"/>
      <c r="L6" s="27"/>
      <c r="M6" s="30" t="n">
        <v>0</v>
      </c>
      <c r="N6" s="28" t="n">
        <v>3.281623</v>
      </c>
      <c r="O6" s="30" t="n">
        <v>0.18521</v>
      </c>
      <c r="P6" s="30" t="n">
        <v>0.100817438692098</v>
      </c>
      <c r="Q6" s="25"/>
    </row>
    <row r="7" customFormat="false" ht="15" hidden="false" customHeight="false" outlineLevel="0" collapsed="false">
      <c r="B7" s="18" t="s">
        <v>59</v>
      </c>
      <c r="C7" s="25" t="s">
        <v>57</v>
      </c>
      <c r="D7" s="25" t="s">
        <v>60</v>
      </c>
      <c r="E7" s="26" t="n">
        <v>1646031.46654702</v>
      </c>
      <c r="F7" s="26" t="n">
        <v>1679516.98306823</v>
      </c>
      <c r="G7" s="26" t="n">
        <v>239104.994096472</v>
      </c>
      <c r="H7" s="27" t="n">
        <f aca="false">IF(G7&gt;0,F7/G7,"")</f>
        <v>7.02418194741091</v>
      </c>
      <c r="I7" s="28" t="n">
        <v>7.308</v>
      </c>
      <c r="J7" s="27" t="n">
        <v>15.1410181621752</v>
      </c>
      <c r="K7" s="29" t="n">
        <f aca="false">IF(AND(ISNUMBER(G7),G7&gt;0),(F7-E7)/G7,"")</f>
        <v>0.140045240994413</v>
      </c>
      <c r="L7" s="27" t="n">
        <v>0.140045240994413</v>
      </c>
      <c r="M7" s="30" t="n">
        <v>0.49256</v>
      </c>
      <c r="N7" s="28" t="n">
        <v>3.9578815</v>
      </c>
      <c r="O7" s="30" t="n">
        <v>0.23747998</v>
      </c>
      <c r="P7" s="30" t="n">
        <v>0.0858369098712447</v>
      </c>
      <c r="Q7" s="25"/>
    </row>
    <row r="8" customFormat="false" ht="15" hidden="false" customHeight="false" outlineLevel="0" collapsed="false">
      <c r="B8" s="18" t="s">
        <v>61</v>
      </c>
      <c r="C8" s="25" t="s">
        <v>57</v>
      </c>
      <c r="D8" s="25" t="s">
        <v>62</v>
      </c>
      <c r="E8" s="26" t="n">
        <v>17891.3730629579</v>
      </c>
      <c r="F8" s="26" t="n">
        <v>79605.1226791044</v>
      </c>
      <c r="G8" s="26" t="n">
        <v>11282.1865514102</v>
      </c>
      <c r="H8" s="27" t="n">
        <f aca="false">IF(G8&gt;0,F8/G8,"")</f>
        <v>7.0558240032961</v>
      </c>
      <c r="I8" s="28" t="n">
        <v>7.056</v>
      </c>
      <c r="J8" s="27" t="n">
        <v>15.3404673032741</v>
      </c>
      <c r="K8" s="29" t="n">
        <f aca="false">IF(AND(ISNUMBER(G8),G8&gt;0),(F8-E8)/G8,"")</f>
        <v>5.47001676802027</v>
      </c>
      <c r="L8" s="27" t="n">
        <v>5.47001676802027</v>
      </c>
      <c r="M8" s="30" t="n">
        <v>0.39536</v>
      </c>
      <c r="N8" s="28" t="n">
        <v>0.8026073</v>
      </c>
      <c r="O8" s="30" t="n">
        <v>0.05198</v>
      </c>
      <c r="P8" s="30" t="n">
        <v>0.127164502164502</v>
      </c>
      <c r="Q8" s="25"/>
    </row>
    <row r="9" customFormat="false" ht="15" hidden="false" customHeight="false" outlineLevel="0" collapsed="false">
      <c r="B9" s="18" t="s">
        <v>63</v>
      </c>
      <c r="C9" s="25" t="s">
        <v>64</v>
      </c>
      <c r="D9" s="25" t="s">
        <v>58</v>
      </c>
      <c r="E9" s="26" t="n">
        <v>117756.728009391</v>
      </c>
      <c r="F9" s="26" t="n">
        <v>151975.296566864</v>
      </c>
      <c r="G9" s="26"/>
      <c r="H9" s="27"/>
      <c r="I9" s="28"/>
      <c r="J9" s="27" t="n">
        <v>14.2902267942184</v>
      </c>
      <c r="K9" s="29"/>
      <c r="L9" s="27"/>
      <c r="M9" s="30" t="n">
        <v>0</v>
      </c>
      <c r="N9" s="28" t="n">
        <v>1.859766</v>
      </c>
      <c r="O9" s="30" t="n">
        <v>0.13838</v>
      </c>
      <c r="P9" s="30" t="n">
        <v>0.282312591866732</v>
      </c>
      <c r="Q9" s="25"/>
    </row>
    <row r="10" customFormat="false" ht="15" hidden="false" customHeight="false" outlineLevel="0" collapsed="false">
      <c r="B10" s="18" t="s">
        <v>65</v>
      </c>
      <c r="C10" s="25" t="s">
        <v>64</v>
      </c>
      <c r="D10" s="25" t="s">
        <v>58</v>
      </c>
      <c r="E10" s="26" t="n">
        <v>100661.664328096</v>
      </c>
      <c r="F10" s="26" t="n">
        <v>116546.176242859</v>
      </c>
      <c r="G10" s="26"/>
      <c r="H10" s="27"/>
      <c r="I10" s="28"/>
      <c r="J10" s="27" t="n">
        <v>17.2079077614772</v>
      </c>
      <c r="K10" s="29"/>
      <c r="L10" s="27"/>
      <c r="M10" s="30" t="n">
        <v>0</v>
      </c>
      <c r="N10" s="28" t="n">
        <v>2.5353663</v>
      </c>
      <c r="O10" s="30" t="n">
        <v>0.16073999</v>
      </c>
      <c r="P10" s="30" t="n">
        <v>0.0914189189189189</v>
      </c>
      <c r="Q10" s="25"/>
    </row>
    <row r="11" customFormat="false" ht="15" hidden="false" customHeight="false" outlineLevel="0" collapsed="false">
      <c r="B11" s="18" t="s">
        <v>66</v>
      </c>
      <c r="C11" s="25" t="s">
        <v>64</v>
      </c>
      <c r="D11" s="25" t="s">
        <v>58</v>
      </c>
      <c r="E11" s="26" t="n">
        <v>43402.0124896626</v>
      </c>
      <c r="F11" s="26" t="n">
        <v>47427.3451331518</v>
      </c>
      <c r="G11" s="26"/>
      <c r="H11" s="27"/>
      <c r="I11" s="28"/>
      <c r="J11" s="27" t="n">
        <v>20.5043681279672</v>
      </c>
      <c r="K11" s="29"/>
      <c r="L11" s="27"/>
      <c r="M11" s="30" t="n">
        <v>0</v>
      </c>
      <c r="N11" s="28" t="n">
        <v>2.2960906</v>
      </c>
      <c r="O11" s="30"/>
      <c r="P11" s="30" t="n">
        <v>0.0768976169461606</v>
      </c>
      <c r="Q11" s="25"/>
    </row>
    <row r="12" customFormat="false" ht="15" hidden="false" customHeight="false" outlineLevel="0" collapsed="false">
      <c r="B12" s="18" t="s">
        <v>67</v>
      </c>
      <c r="C12" s="25" t="s">
        <v>64</v>
      </c>
      <c r="D12" s="25" t="s">
        <v>68</v>
      </c>
      <c r="E12" s="26" t="n">
        <v>12565.2928327647</v>
      </c>
      <c r="F12" s="26" t="n">
        <v>12515.4164140813</v>
      </c>
      <c r="G12" s="26" t="n">
        <v>378.350354442889</v>
      </c>
      <c r="H12" s="27" t="n">
        <f aca="false">IF(G12&gt;0,F12/G12,"")</f>
        <v>33.0789075974567</v>
      </c>
      <c r="I12" s="28" t="n">
        <v>32.954</v>
      </c>
      <c r="J12" s="27" t="n">
        <v>46.2660361466345</v>
      </c>
      <c r="K12" s="29" t="n">
        <f aca="false">IF(AND(ISNUMBER(G12),G12&gt;0),(F12-E12)/G12,"")</f>
        <v>-0.131826012841408</v>
      </c>
      <c r="L12" s="27" t="n">
        <v>-0.131826012841421</v>
      </c>
      <c r="M12" s="30" t="n">
        <v>0.18634</v>
      </c>
      <c r="N12" s="28" t="n">
        <v>23.593672</v>
      </c>
      <c r="O12" s="30"/>
      <c r="P12" s="30" t="n">
        <v>0.202360070164248</v>
      </c>
      <c r="Q12" s="25"/>
    </row>
    <row r="13" customFormat="false" ht="15" hidden="false" customHeight="false" outlineLevel="0" collapsed="false">
      <c r="B13" s="18" t="s">
        <v>69</v>
      </c>
      <c r="C13" s="25" t="s">
        <v>64</v>
      </c>
      <c r="D13" s="25" t="s">
        <v>68</v>
      </c>
      <c r="E13" s="26" t="n">
        <v>7170.9416469439</v>
      </c>
      <c r="F13" s="26" t="n">
        <v>6768.31974308087</v>
      </c>
      <c r="G13" s="26" t="n">
        <v>260.034929055697</v>
      </c>
      <c r="H13" s="27" t="n">
        <f aca="false">IF(G13&gt;0,F13/G13,"")</f>
        <v>26.028502277212</v>
      </c>
      <c r="I13" s="28" t="n">
        <v>25.961</v>
      </c>
      <c r="J13" s="27" t="n">
        <v>34.8674327073086</v>
      </c>
      <c r="K13" s="29" t="n">
        <f aca="false">IF(AND(ISNUMBER(G13),G13&gt;0),(F13-E13)/G13,"")</f>
        <v>-1.54833777648693</v>
      </c>
      <c r="L13" s="27" t="n">
        <v>-1.54833777648692</v>
      </c>
      <c r="M13" s="30" t="n">
        <v>0.18398</v>
      </c>
      <c r="N13" s="28" t="n">
        <v>6.0202227</v>
      </c>
      <c r="O13" s="30"/>
      <c r="P13" s="30" t="n">
        <v>0.285924834193073</v>
      </c>
      <c r="Q13" s="25"/>
    </row>
    <row r="14" customFormat="false" ht="15" hidden="false" customHeight="false" outlineLevel="0" collapsed="false">
      <c r="B14" s="18" t="s">
        <v>70</v>
      </c>
      <c r="C14" s="25" t="s">
        <v>64</v>
      </c>
      <c r="D14" s="25" t="s">
        <v>68</v>
      </c>
      <c r="E14" s="26" t="n">
        <v>47886.2290356154</v>
      </c>
      <c r="F14" s="26" t="n">
        <v>47311.0608768908</v>
      </c>
      <c r="G14" s="26" t="n">
        <v>1548.49548876317</v>
      </c>
      <c r="H14" s="27" t="n">
        <f aca="false">IF(G14&gt;0,F14/G14,"")</f>
        <v>30.5529213486308</v>
      </c>
      <c r="I14" s="28" t="n">
        <v>30.381</v>
      </c>
      <c r="J14" s="27" t="n">
        <v>43.4109024932042</v>
      </c>
      <c r="K14" s="29" t="n">
        <f aca="false">IF(AND(ISNUMBER(G14),G14&gt;0),(F14-E14)/G14,"")</f>
        <v>-0.371436767429006</v>
      </c>
      <c r="L14" s="27" t="n">
        <v>-0.371436767429011</v>
      </c>
      <c r="M14" s="30" t="n">
        <v>0.22479</v>
      </c>
      <c r="N14" s="28" t="n">
        <v>9.420736</v>
      </c>
      <c r="O14" s="30"/>
      <c r="P14" s="30" t="n">
        <v>0.267321535692861</v>
      </c>
      <c r="Q14" s="25"/>
    </row>
    <row r="15" customFormat="false" ht="15" hidden="false" customHeight="false" outlineLevel="0" collapsed="false">
      <c r="B15" s="18" t="s">
        <v>71</v>
      </c>
      <c r="C15" s="25" t="s">
        <v>64</v>
      </c>
      <c r="D15" s="25" t="s">
        <v>68</v>
      </c>
      <c r="E15" s="26" t="n">
        <v>11088.6786502167</v>
      </c>
      <c r="F15" s="26" t="n">
        <v>10892.2975824325</v>
      </c>
      <c r="G15" s="26" t="n">
        <v>251.911128266776</v>
      </c>
      <c r="H15" s="27" t="n">
        <f aca="false">IF(G15&gt;0,F15/G15,"")</f>
        <v>43.2386518903504</v>
      </c>
      <c r="I15" s="28" t="n">
        <v>43.247</v>
      </c>
      <c r="J15" s="27" t="n">
        <v>56.3155707661017</v>
      </c>
      <c r="K15" s="29" t="n">
        <f aca="false">IF(AND(ISNUMBER(G15),G15&gt;0),(F15-E15)/G15,"")</f>
        <v>-0.779564877245921</v>
      </c>
      <c r="L15" s="27" t="n">
        <v>-0.779564877245905</v>
      </c>
      <c r="M15" s="30" t="n">
        <v>0.16836001</v>
      </c>
      <c r="N15" s="28" t="n">
        <v>25.258242</v>
      </c>
      <c r="O15" s="30"/>
      <c r="P15" s="30" t="n">
        <v>0.0786750646721405</v>
      </c>
      <c r="Q15" s="25"/>
    </row>
    <row r="16" customFormat="false" ht="15" hidden="false" customHeight="false" outlineLevel="0" collapsed="false">
      <c r="B16" s="18" t="s">
        <v>72</v>
      </c>
      <c r="C16" s="25" t="s">
        <v>64</v>
      </c>
      <c r="D16" s="25" t="s">
        <v>60</v>
      </c>
      <c r="E16" s="26" t="n">
        <v>13929.2904912742</v>
      </c>
      <c r="F16" s="26" t="n">
        <v>17501.8835952646</v>
      </c>
      <c r="G16" s="26" t="n">
        <v>3065.99525592457</v>
      </c>
      <c r="H16" s="27" t="n">
        <f aca="false">IF(G16&gt;0,F16/G16,"")</f>
        <v>5.70838573916409</v>
      </c>
      <c r="I16" s="28" t="n">
        <v>5.63</v>
      </c>
      <c r="J16" s="27" t="n">
        <v>7.79611907679696</v>
      </c>
      <c r="K16" s="29" t="n">
        <f aca="false">IF(AND(ISNUMBER(G16),G16&gt;0),(F16-E16)/G16,"")</f>
        <v>1.16523112587565</v>
      </c>
      <c r="L16" s="27" t="n">
        <v>1.16523112587565</v>
      </c>
      <c r="M16" s="30" t="n">
        <v>0.059520002</v>
      </c>
      <c r="N16" s="28" t="n">
        <v>1.3337713</v>
      </c>
      <c r="O16" s="30"/>
      <c r="P16" s="30" t="n">
        <v>0.201838376101111</v>
      </c>
      <c r="Q16" s="25"/>
    </row>
    <row r="17" customFormat="false" ht="15" hidden="false" customHeight="false" outlineLevel="0" collapsed="false">
      <c r="B17" s="18" t="s">
        <v>73</v>
      </c>
      <c r="C17" s="25" t="s">
        <v>64</v>
      </c>
      <c r="D17" s="25" t="s">
        <v>60</v>
      </c>
      <c r="E17" s="26" t="n">
        <v>30640.8532429481</v>
      </c>
      <c r="F17" s="26" t="n">
        <v>45140.5789487127</v>
      </c>
      <c r="G17" s="26" t="n">
        <v>10936.0754957504</v>
      </c>
      <c r="H17" s="27" t="n">
        <f aca="false">IF(G17&gt;0,F17/G17,"")</f>
        <v>4.12767623689631</v>
      </c>
      <c r="I17" s="28" t="n">
        <v>4.476</v>
      </c>
      <c r="J17" s="27" t="n">
        <v>6.75103309098745</v>
      </c>
      <c r="K17" s="29" t="n">
        <f aca="false">IF(AND(ISNUMBER(G17),G17&gt;0),(F17-E17)/G17,"")</f>
        <v>1.32586188815166</v>
      </c>
      <c r="L17" s="27" t="n">
        <v>1.32586188815166</v>
      </c>
      <c r="M17" s="30" t="n">
        <v>0.14892</v>
      </c>
      <c r="N17" s="28" t="n">
        <v>0.79032147</v>
      </c>
      <c r="O17" s="30"/>
      <c r="P17" s="30" t="n">
        <v>0.240520325203252</v>
      </c>
      <c r="Q17" s="25"/>
    </row>
    <row r="18" customFormat="false" ht="15" hidden="false" customHeight="false" outlineLevel="0" collapsed="false">
      <c r="B18" s="18" t="s">
        <v>74</v>
      </c>
      <c r="C18" s="25" t="s">
        <v>64</v>
      </c>
      <c r="D18" s="25" t="s">
        <v>60</v>
      </c>
      <c r="E18" s="26" t="n">
        <v>175526.257291753</v>
      </c>
      <c r="F18" s="26" t="n">
        <v>190111.74845548</v>
      </c>
      <c r="G18" s="26" t="n">
        <v>18838.8167693794</v>
      </c>
      <c r="H18" s="27" t="n">
        <f aca="false">IF(G18&gt;0,F18/G18,"")</f>
        <v>10.0914909244453</v>
      </c>
      <c r="I18" s="28" t="n">
        <v>11.1</v>
      </c>
      <c r="J18" s="27" t="n">
        <v>22.522429646887</v>
      </c>
      <c r="K18" s="29" t="n">
        <f aca="false">IF(AND(ISNUMBER(G18),G18&gt;0),(F18-E18)/G18,"")</f>
        <v>0.77422543794974</v>
      </c>
      <c r="L18" s="27" t="n">
        <v>0.77422543794974</v>
      </c>
      <c r="M18" s="30" t="n">
        <v>0.15991001</v>
      </c>
      <c r="N18" s="28" t="n">
        <v>1.8617009</v>
      </c>
      <c r="O18" s="30"/>
      <c r="P18" s="30" t="n">
        <v>0.228378210696116</v>
      </c>
      <c r="Q18" s="25"/>
    </row>
    <row r="19" customFormat="false" ht="15" hidden="false" customHeight="false" outlineLevel="0" collapsed="false">
      <c r="B19" s="18" t="s">
        <v>75</v>
      </c>
      <c r="C19" s="25" t="s">
        <v>64</v>
      </c>
      <c r="D19" s="25" t="s">
        <v>76</v>
      </c>
      <c r="E19" s="26" t="n">
        <v>35067.5913998597</v>
      </c>
      <c r="F19" s="26" t="n">
        <v>33025.5912718597</v>
      </c>
      <c r="G19" s="26" t="n">
        <v>2793.999872</v>
      </c>
      <c r="H19" s="27" t="n">
        <f aca="false">IF(G19&gt;0,F19/G19,"")</f>
        <v>11.8201835307241</v>
      </c>
      <c r="I19" s="28" t="n">
        <v>1217.867</v>
      </c>
      <c r="J19" s="27" t="n">
        <v>18.3120575602548</v>
      </c>
      <c r="K19" s="29" t="n">
        <f aca="false">IF(AND(ISNUMBER(G19),G19&gt;0),(F19-E19)/G19,"")</f>
        <v>-0.73085190463459</v>
      </c>
      <c r="L19" s="27" t="n">
        <v>-0.73085190463459</v>
      </c>
      <c r="M19" s="30" t="n">
        <v>0.18917999</v>
      </c>
      <c r="N19" s="28" t="n">
        <v>4.5557</v>
      </c>
      <c r="O19" s="30" t="n">
        <v>0.24067</v>
      </c>
      <c r="P19" s="30" t="n">
        <v>0.301893152070108</v>
      </c>
      <c r="Q19" s="31" t="s">
        <v>77</v>
      </c>
    </row>
    <row r="20" customFormat="false" ht="15" hidden="false" customHeight="false" outlineLevel="0" collapsed="false">
      <c r="B20" s="18" t="s">
        <v>78</v>
      </c>
      <c r="C20" s="25" t="s">
        <v>64</v>
      </c>
      <c r="D20" s="25" t="s">
        <v>76</v>
      </c>
      <c r="E20" s="26" t="n">
        <v>44133.6289422579</v>
      </c>
      <c r="F20" s="26" t="n">
        <v>41932.6289422579</v>
      </c>
      <c r="G20" s="26" t="n">
        <v>4481.999872</v>
      </c>
      <c r="H20" s="27" t="n">
        <f aca="false">IF(G20&gt;0,F20/G20,"")</f>
        <v>9.35578539486801</v>
      </c>
      <c r="I20" s="28" t="n">
        <v>956.004</v>
      </c>
      <c r="J20" s="27" t="n">
        <v>13.2812603347148</v>
      </c>
      <c r="K20" s="29" t="n">
        <f aca="false">IF(AND(ISNUMBER(G20),G20&gt;0),(F20-E20)/G20,"")</f>
        <v>-0.491075426786625</v>
      </c>
      <c r="L20" s="27" t="n">
        <v>-0.491075426786625</v>
      </c>
      <c r="M20" s="30" t="n">
        <v>0.2208</v>
      </c>
      <c r="N20" s="28" t="n">
        <v>4.6252747</v>
      </c>
      <c r="O20" s="30" t="n">
        <v>0.32</v>
      </c>
      <c r="P20" s="30" t="n">
        <v>0.39537037037037</v>
      </c>
      <c r="Q20" s="31" t="s">
        <v>79</v>
      </c>
    </row>
    <row r="21" customFormat="false" ht="15" hidden="false" customHeight="false" outlineLevel="0" collapsed="false">
      <c r="B21" s="18" t="s">
        <v>80</v>
      </c>
      <c r="C21" s="25" t="s">
        <v>64</v>
      </c>
      <c r="D21" s="25" t="s">
        <v>76</v>
      </c>
      <c r="E21" s="26" t="n">
        <v>79874.5128449336</v>
      </c>
      <c r="F21" s="26" t="n">
        <v>76357.5915071744</v>
      </c>
      <c r="G21" s="26" t="n">
        <v>7516.1913155935</v>
      </c>
      <c r="H21" s="27" t="n">
        <f aca="false">IF(G21&gt;0,F21/G21,"")</f>
        <v>10.15908035081</v>
      </c>
      <c r="I21" s="28" t="n">
        <v>10.542</v>
      </c>
      <c r="J21" s="27" t="n">
        <v>15.3793604267883</v>
      </c>
      <c r="K21" s="29" t="n">
        <f aca="false">IF(AND(ISNUMBER(G21),G21&gt;0),(F21-E21)/G21,"")</f>
        <v>-0.467912695418335</v>
      </c>
      <c r="L21" s="27" t="n">
        <v>-0.467912695418336</v>
      </c>
      <c r="M21" s="30" t="n">
        <v>0.26125</v>
      </c>
      <c r="N21" s="28" t="n">
        <v>6.985816</v>
      </c>
      <c r="O21" s="30" t="n">
        <v>0.47743</v>
      </c>
      <c r="P21" s="30" t="n">
        <v>0.368119402985075</v>
      </c>
      <c r="Q21" s="25"/>
    </row>
    <row r="22" customFormat="false" ht="15" hidden="false" customHeight="false" outlineLevel="0" collapsed="false">
      <c r="B22" s="18" t="s">
        <v>81</v>
      </c>
      <c r="C22" s="25" t="s">
        <v>64</v>
      </c>
      <c r="D22" s="25" t="s">
        <v>76</v>
      </c>
      <c r="E22" s="26" t="n">
        <v>16872.3690980313</v>
      </c>
      <c r="F22" s="26" t="n">
        <v>14975.012916326</v>
      </c>
      <c r="G22" s="26" t="n">
        <v>1823.75761839739</v>
      </c>
      <c r="H22" s="27" t="n">
        <f aca="false">IF(G22&gt;0,F22/G22,"")</f>
        <v>8.21107627749635</v>
      </c>
      <c r="I22" s="28" t="n">
        <v>8.384</v>
      </c>
      <c r="J22" s="27" t="n">
        <v>12.2384984328981</v>
      </c>
      <c r="K22" s="29" t="n">
        <f aca="false">IF(AND(ISNUMBER(G22),G22&gt;0),(F22-E22)/G22,"")</f>
        <v>-1.04035545215299</v>
      </c>
      <c r="L22" s="27" t="n">
        <v>-1.04035545215299</v>
      </c>
      <c r="M22" s="30" t="n">
        <v>0.18414</v>
      </c>
      <c r="N22" s="28" t="n">
        <v>2.0879724</v>
      </c>
      <c r="O22" s="30" t="n">
        <v>0.16128999</v>
      </c>
      <c r="P22" s="30" t="n">
        <v>0.40120834859026</v>
      </c>
      <c r="Q22" s="25"/>
    </row>
    <row r="23" customFormat="false" ht="15" hidden="false" customHeight="false" outlineLevel="0" collapsed="false">
      <c r="B23" s="18" t="s">
        <v>82</v>
      </c>
      <c r="C23" s="25" t="s">
        <v>64</v>
      </c>
      <c r="D23" s="25" t="s">
        <v>83</v>
      </c>
      <c r="E23" s="26" t="n">
        <v>2368.11171312685</v>
      </c>
      <c r="F23" s="26" t="n">
        <v>4238.57167600182</v>
      </c>
      <c r="G23" s="26" t="n">
        <v>273.592716520237</v>
      </c>
      <c r="H23" s="27" t="n">
        <f aca="false">IF(G23&gt;0,F23/G23,"")</f>
        <v>15.4922679591447</v>
      </c>
      <c r="I23" s="28" t="n">
        <v>15.515</v>
      </c>
      <c r="J23" s="27" t="n">
        <v>23.7978160631871</v>
      </c>
      <c r="K23" s="29" t="n">
        <f aca="false">IF(AND(ISNUMBER(G23),G23&gt;0),(F23-E23)/G23,"")</f>
        <v>6.83665847053577</v>
      </c>
      <c r="L23" s="27" t="n">
        <v>6.83665847053577</v>
      </c>
      <c r="M23" s="30" t="n">
        <v>0.42556</v>
      </c>
      <c r="N23" s="28" t="n">
        <v>1.0634687</v>
      </c>
      <c r="O23" s="30"/>
      <c r="P23" s="30" t="n">
        <v>0.215031315240084</v>
      </c>
      <c r="Q23" s="25"/>
    </row>
    <row r="24" customFormat="false" ht="15" hidden="false" customHeight="false" outlineLevel="0" collapsed="false">
      <c r="B24" s="18" t="s">
        <v>84</v>
      </c>
      <c r="C24" s="25" t="s">
        <v>64</v>
      </c>
      <c r="D24" s="25" t="s">
        <v>85</v>
      </c>
      <c r="E24" s="26" t="n">
        <v>25302.8021173216</v>
      </c>
      <c r="F24" s="26" t="n">
        <v>25523.8179028966</v>
      </c>
      <c r="G24" s="26" t="n">
        <v>566.46659917502</v>
      </c>
      <c r="H24" s="27" t="n">
        <f aca="false">IF(G24&gt;0,F24/G24,"")</f>
        <v>45.0579397621475</v>
      </c>
      <c r="I24" s="28" t="n">
        <v>44.937</v>
      </c>
      <c r="J24" s="27" t="n">
        <v>79.3347339236654</v>
      </c>
      <c r="K24" s="29" t="n">
        <f aca="false">IF(AND(ISNUMBER(G24),G24&gt;0),(F24-E24)/G24,"")</f>
        <v>0.390165608875932</v>
      </c>
      <c r="L24" s="27" t="n">
        <v>0.39016560887594</v>
      </c>
      <c r="M24" s="30" t="n">
        <v>0.076230004</v>
      </c>
      <c r="N24" s="28" t="n">
        <v>9.894239</v>
      </c>
      <c r="O24" s="30"/>
      <c r="P24" s="30" t="n">
        <v>0.224739474781159</v>
      </c>
      <c r="Q24" s="25"/>
    </row>
    <row r="25" customFormat="false" ht="15" hidden="false" customHeight="false" outlineLevel="0" collapsed="false">
      <c r="B25" s="18" t="s">
        <v>86</v>
      </c>
      <c r="C25" s="25" t="s">
        <v>64</v>
      </c>
      <c r="D25" s="25" t="s">
        <v>85</v>
      </c>
      <c r="E25" s="26" t="n">
        <v>15530.663999655</v>
      </c>
      <c r="F25" s="26" t="n">
        <v>15700.9054455989</v>
      </c>
      <c r="G25" s="26" t="n">
        <v>309.551546067962</v>
      </c>
      <c r="H25" s="27" t="n">
        <f aca="false">IF(G25&gt;0,F25/G25,"")</f>
        <v>50.7214570401523</v>
      </c>
      <c r="I25" s="28" t="n">
        <v>50.696</v>
      </c>
      <c r="J25" s="27" t="n">
        <v>82.3207574533325</v>
      </c>
      <c r="K25" s="29" t="n">
        <f aca="false">IF(AND(ISNUMBER(G25),G25&gt;0),(F25-E25)/G25,"")</f>
        <v>0.549961543097782</v>
      </c>
      <c r="L25" s="27" t="n">
        <v>0.549961543097778</v>
      </c>
      <c r="M25" s="30" t="n">
        <v>0.14171</v>
      </c>
      <c r="N25" s="28" t="n">
        <v>21.320272</v>
      </c>
      <c r="O25" s="30"/>
      <c r="P25" s="30" t="n">
        <v>0.458569212873207</v>
      </c>
      <c r="Q25" s="25"/>
    </row>
    <row r="26" customFormat="false" ht="15" hidden="false" customHeight="false" outlineLevel="0" collapsed="false">
      <c r="B26" s="18" t="s">
        <v>87</v>
      </c>
      <c r="C26" s="25" t="s">
        <v>64</v>
      </c>
      <c r="D26" s="25" t="s">
        <v>88</v>
      </c>
      <c r="E26" s="26" t="n">
        <v>120075.53701508</v>
      </c>
      <c r="F26" s="26" t="n">
        <v>134996.629083924</v>
      </c>
      <c r="G26" s="26" t="n">
        <v>11965.0204044424</v>
      </c>
      <c r="H26" s="27" t="n">
        <f aca="false">IF(G26&gt;0,F26/G26,"")</f>
        <v>11.2826075109577</v>
      </c>
      <c r="I26" s="28" t="n">
        <v>11.565</v>
      </c>
      <c r="J26" s="27" t="n">
        <v>39.8186504951346</v>
      </c>
      <c r="K26" s="29" t="n">
        <f aca="false">IF(AND(ISNUMBER(G26),G26&gt;0),(F26-E26)/G26,"")</f>
        <v>1.24705947541085</v>
      </c>
      <c r="L26" s="27" t="n">
        <v>1.24705947541085</v>
      </c>
      <c r="M26" s="30" t="n">
        <v>0.52137</v>
      </c>
      <c r="N26" s="28" t="n">
        <v>7.112329</v>
      </c>
      <c r="O26" s="30" t="n">
        <v>0.20151</v>
      </c>
      <c r="P26" s="30" t="n">
        <v>0.151299149229708</v>
      </c>
      <c r="Q26" s="25"/>
    </row>
    <row r="27" customFormat="false" ht="15" hidden="false" customHeight="false" outlineLevel="0" collapsed="false">
      <c r="B27" s="18" t="s">
        <v>89</v>
      </c>
      <c r="C27" s="25" t="s">
        <v>90</v>
      </c>
      <c r="D27" s="25" t="s">
        <v>58</v>
      </c>
      <c r="E27" s="26"/>
      <c r="F27" s="26"/>
      <c r="G27" s="26"/>
      <c r="H27" s="27"/>
      <c r="I27" s="28"/>
      <c r="J27" s="27"/>
      <c r="K27" s="29"/>
      <c r="L27" s="27"/>
      <c r="M27" s="30"/>
      <c r="N27" s="28"/>
      <c r="O27" s="30"/>
      <c r="P27" s="30"/>
      <c r="Q27" s="31" t="s">
        <v>91</v>
      </c>
    </row>
    <row r="28" customFormat="false" ht="15" hidden="false" customHeight="false" outlineLevel="0" collapsed="false">
      <c r="B28" s="18" t="s">
        <v>92</v>
      </c>
      <c r="C28" s="25" t="s">
        <v>90</v>
      </c>
      <c r="D28" s="25" t="s">
        <v>58</v>
      </c>
      <c r="E28" s="26" t="n">
        <v>14324.748947129</v>
      </c>
      <c r="F28" s="26" t="n">
        <v>13732.4777568382</v>
      </c>
      <c r="G28" s="26"/>
      <c r="H28" s="27"/>
      <c r="I28" s="28"/>
      <c r="J28" s="27" t="n">
        <v>7.38506953869479</v>
      </c>
      <c r="K28" s="29"/>
      <c r="L28" s="27"/>
      <c r="M28" s="30" t="n">
        <v>0</v>
      </c>
      <c r="N28" s="28" t="n">
        <v>1.215562</v>
      </c>
      <c r="O28" s="30" t="n">
        <v>0.15018</v>
      </c>
      <c r="P28" s="30" t="n">
        <v>0.286274509803921</v>
      </c>
      <c r="Q28" s="25"/>
    </row>
    <row r="29" customFormat="false" ht="15" hidden="false" customHeight="false" outlineLevel="0" collapsed="false">
      <c r="B29" s="18" t="s">
        <v>93</v>
      </c>
      <c r="C29" s="25" t="s">
        <v>90</v>
      </c>
      <c r="D29" s="25" t="s">
        <v>58</v>
      </c>
      <c r="E29" s="26" t="n">
        <v>52934.9831401624</v>
      </c>
      <c r="F29" s="26" t="n">
        <v>71774.865937372</v>
      </c>
      <c r="G29" s="26"/>
      <c r="H29" s="27"/>
      <c r="I29" s="28"/>
      <c r="J29" s="27" t="n">
        <v>8.17564039940006</v>
      </c>
      <c r="K29" s="29"/>
      <c r="L29" s="27"/>
      <c r="M29" s="30" t="n">
        <v>0</v>
      </c>
      <c r="N29" s="28" t="n">
        <v>1.3602617</v>
      </c>
      <c r="O29" s="30" t="n">
        <v>0.16658</v>
      </c>
      <c r="P29" s="30" t="n">
        <v>0.177005347593583</v>
      </c>
      <c r="Q29" s="25"/>
    </row>
    <row r="30" customFormat="false" ht="15" hidden="false" customHeight="false" outlineLevel="0" collapsed="false">
      <c r="B30" s="18" t="s">
        <v>94</v>
      </c>
      <c r="C30" s="25" t="s">
        <v>90</v>
      </c>
      <c r="D30" s="25" t="s">
        <v>58</v>
      </c>
      <c r="E30" s="26"/>
      <c r="F30" s="26"/>
      <c r="G30" s="26"/>
      <c r="H30" s="27"/>
      <c r="I30" s="28"/>
      <c r="J30" s="27"/>
      <c r="K30" s="29"/>
      <c r="L30" s="27"/>
      <c r="M30" s="30"/>
      <c r="N30" s="28"/>
      <c r="O30" s="30"/>
      <c r="P30" s="30"/>
      <c r="Q30" s="31" t="s">
        <v>91</v>
      </c>
    </row>
    <row r="31" customFormat="false" ht="15" hidden="false" customHeight="false" outlineLevel="0" collapsed="false">
      <c r="B31" s="18" t="s">
        <v>95</v>
      </c>
      <c r="C31" s="25" t="s">
        <v>90</v>
      </c>
      <c r="D31" s="25" t="s">
        <v>58</v>
      </c>
      <c r="E31" s="26" t="n">
        <v>18291.8759303976</v>
      </c>
      <c r="F31" s="26" t="n">
        <v>23054.6522323668</v>
      </c>
      <c r="G31" s="26"/>
      <c r="H31" s="27"/>
      <c r="I31" s="28"/>
      <c r="J31" s="27" t="n">
        <v>9.37470172520711</v>
      </c>
      <c r="K31" s="29"/>
      <c r="L31" s="27"/>
      <c r="M31" s="30" t="n">
        <v>0</v>
      </c>
      <c r="N31" s="28" t="n">
        <v>1.7675529</v>
      </c>
      <c r="O31" s="30" t="n">
        <v>0.18621</v>
      </c>
      <c r="P31" s="30" t="n">
        <v>0.012094395280236</v>
      </c>
      <c r="Q31" s="25"/>
    </row>
    <row r="32" customFormat="false" ht="15" hidden="false" customHeight="false" outlineLevel="0" collapsed="false">
      <c r="B32" s="18" t="s">
        <v>96</v>
      </c>
      <c r="C32" s="25" t="s">
        <v>90</v>
      </c>
      <c r="D32" s="25" t="s">
        <v>83</v>
      </c>
      <c r="E32" s="26" t="n">
        <v>10965.4501256451</v>
      </c>
      <c r="F32" s="26" t="n">
        <v>11892.9676044046</v>
      </c>
      <c r="G32" s="26" t="n">
        <v>558.507439221983</v>
      </c>
      <c r="H32" s="27" t="n">
        <f aca="false">IF(G32&gt;0,F32/G32,"")</f>
        <v>21.2941973001681</v>
      </c>
      <c r="I32" s="28" t="n">
        <v>21.111</v>
      </c>
      <c r="J32" s="27" t="n">
        <v>27.0930248958272</v>
      </c>
      <c r="K32" s="29" t="n">
        <f aca="false">IF(AND(ISNUMBER(G32),G32&gt;0),(F32-E32)/G32,"")</f>
        <v>1.66070747428462</v>
      </c>
      <c r="L32" s="27" t="n">
        <v>1.66070747428462</v>
      </c>
      <c r="M32" s="30" t="n">
        <v>0.68799</v>
      </c>
      <c r="N32" s="28" t="n">
        <v>38.913044</v>
      </c>
      <c r="O32" s="30" t="n">
        <v>1.30893</v>
      </c>
      <c r="P32" s="30" t="n">
        <v>0.216058394160584</v>
      </c>
      <c r="Q32" s="31" t="s">
        <v>97</v>
      </c>
    </row>
    <row r="33" customFormat="false" ht="15" hidden="false" customHeight="false" outlineLevel="0" collapsed="false">
      <c r="B33" s="18" t="s">
        <v>98</v>
      </c>
      <c r="C33" s="25" t="s">
        <v>90</v>
      </c>
      <c r="D33" s="25" t="s">
        <v>99</v>
      </c>
      <c r="E33" s="26"/>
      <c r="F33" s="26"/>
      <c r="G33" s="26"/>
      <c r="H33" s="27"/>
      <c r="I33" s="28"/>
      <c r="J33" s="27"/>
      <c r="K33" s="29"/>
      <c r="L33" s="27"/>
      <c r="M33" s="30"/>
      <c r="N33" s="28"/>
      <c r="O33" s="30"/>
      <c r="P33" s="30"/>
      <c r="Q33" s="31" t="s">
        <v>91</v>
      </c>
    </row>
    <row r="34" customFormat="false" ht="15" hidden="false" customHeight="false" outlineLevel="0" collapsed="false">
      <c r="B34" s="18" t="s">
        <v>100</v>
      </c>
      <c r="C34" s="25" t="s">
        <v>90</v>
      </c>
      <c r="D34" s="25" t="s">
        <v>99</v>
      </c>
      <c r="E34" s="26" t="n">
        <v>14593.372679425</v>
      </c>
      <c r="F34" s="26" t="n">
        <v>2083.34171697239</v>
      </c>
      <c r="G34" s="26" t="n">
        <v>4122.35349691738</v>
      </c>
      <c r="H34" s="27" t="n">
        <f aca="false">IF(G34&gt;0,F34/G34,"")</f>
        <v>0.505376775313004</v>
      </c>
      <c r="I34" s="28" t="n">
        <v>0.83</v>
      </c>
      <c r="J34" s="27" t="n">
        <v>4.08485622632198</v>
      </c>
      <c r="K34" s="29" t="n">
        <f aca="false">IF(AND(ISNUMBER(G34),G34&gt;0),(F34-E34)/G34,"")</f>
        <v>-3.03468175929292</v>
      </c>
      <c r="L34" s="27" t="n">
        <v>-3.03468175929292</v>
      </c>
      <c r="M34" s="30" t="n">
        <v>0.49012002</v>
      </c>
      <c r="N34" s="28" t="n">
        <v>1.3801627</v>
      </c>
      <c r="O34" s="30" t="n">
        <v>0.40765</v>
      </c>
      <c r="P34" s="30" t="n">
        <v>0.352657004830918</v>
      </c>
      <c r="Q34" s="31" t="s">
        <v>101</v>
      </c>
    </row>
    <row r="35" customFormat="false" ht="15" hidden="false" customHeight="false" outlineLevel="0" collapsed="false">
      <c r="B35" s="18" t="s">
        <v>102</v>
      </c>
      <c r="C35" s="25" t="s">
        <v>90</v>
      </c>
      <c r="D35" s="25" t="s">
        <v>99</v>
      </c>
      <c r="E35" s="26" t="n">
        <v>28252.1694967225</v>
      </c>
      <c r="F35" s="26" t="n">
        <v>22915.1042464764</v>
      </c>
      <c r="G35" s="26" t="n">
        <v>7058.13161260552</v>
      </c>
      <c r="H35" s="27" t="n">
        <f aca="false">IF(G35&gt;0,F35/G35,"")</f>
        <v>3.24662467409237</v>
      </c>
      <c r="I35" s="28" t="n">
        <v>3.846</v>
      </c>
      <c r="J35" s="27" t="n">
        <v>5.40757761623198</v>
      </c>
      <c r="K35" s="29" t="n">
        <f aca="false">IF(AND(ISNUMBER(G35),G35&gt;0),(F35-E35)/G35,"")</f>
        <v>-0.756158363597854</v>
      </c>
      <c r="L35" s="27" t="n">
        <v>-0.756158363597854</v>
      </c>
      <c r="M35" s="30" t="n">
        <v>0.48337</v>
      </c>
      <c r="N35" s="28" t="n">
        <v>1.1053573</v>
      </c>
      <c r="O35" s="30" t="n">
        <v>0.24211</v>
      </c>
      <c r="P35" s="30" t="n">
        <v>0.319420289855072</v>
      </c>
      <c r="Q35" s="31" t="s">
        <v>103</v>
      </c>
    </row>
    <row r="36" customFormat="false" ht="15" hidden="false" customHeight="false" outlineLevel="0" collapsed="false">
      <c r="B36" s="18" t="s">
        <v>104</v>
      </c>
      <c r="C36" s="25" t="s">
        <v>90</v>
      </c>
      <c r="D36" s="25" t="s">
        <v>88</v>
      </c>
      <c r="E36" s="26" t="n">
        <v>14587.6416918618</v>
      </c>
      <c r="F36" s="26" t="n">
        <v>14976.4181548689</v>
      </c>
      <c r="G36" s="26" t="n">
        <v>1365.5675386243</v>
      </c>
      <c r="H36" s="27" t="n">
        <f aca="false">IF(G36&gt;0,F36/G36,"")</f>
        <v>10.9671749886179</v>
      </c>
      <c r="I36" s="28" t="n">
        <v>10.967</v>
      </c>
      <c r="J36" s="27" t="n">
        <v>17.3518811150291</v>
      </c>
      <c r="K36" s="29" t="n">
        <f aca="false">IF(AND(ISNUMBER(G36),G36&gt;0),(F36-E36)/G36,"")</f>
        <v>0.284699549462643</v>
      </c>
      <c r="L36" s="27" t="n">
        <v>0.284699549462642</v>
      </c>
      <c r="M36" s="30" t="n">
        <v>0.30671</v>
      </c>
      <c r="N36" s="28" t="n">
        <v>5.3751707</v>
      </c>
      <c r="O36" s="30" t="n">
        <v>0.31264</v>
      </c>
      <c r="P36" s="30" t="n">
        <v>0.0765625</v>
      </c>
      <c r="Q36" s="25"/>
    </row>
    <row r="37" customFormat="false" ht="15" hidden="false" customHeight="false" outlineLevel="0" collapsed="false">
      <c r="B37" s="18" t="s">
        <v>105</v>
      </c>
      <c r="C37" s="25" t="s">
        <v>90</v>
      </c>
      <c r="D37" s="25" t="s">
        <v>88</v>
      </c>
      <c r="E37" s="26"/>
      <c r="F37" s="26"/>
      <c r="G37" s="26"/>
      <c r="H37" s="27"/>
      <c r="I37" s="28"/>
      <c r="J37" s="27"/>
      <c r="K37" s="29"/>
      <c r="L37" s="27"/>
      <c r="M37" s="30"/>
      <c r="N37" s="28"/>
      <c r="O37" s="30"/>
      <c r="P37" s="30"/>
      <c r="Q37" s="31" t="s">
        <v>91</v>
      </c>
    </row>
    <row r="38" customFormat="false" ht="15" hidden="false" customHeight="false" outlineLevel="0" collapsed="false">
      <c r="B38" s="18" t="s">
        <v>106</v>
      </c>
      <c r="C38" s="25" t="s">
        <v>90</v>
      </c>
      <c r="D38" s="25" t="s">
        <v>62</v>
      </c>
      <c r="E38" s="26" t="n">
        <v>37300.226788946</v>
      </c>
      <c r="F38" s="26" t="n">
        <v>44494.7835623934</v>
      </c>
      <c r="G38" s="26" t="n">
        <v>4843.67032334642</v>
      </c>
      <c r="H38" s="27" t="n">
        <f aca="false">IF(G38&gt;0,F38/G38,"")</f>
        <v>9.18617093899417</v>
      </c>
      <c r="I38" s="28" t="n">
        <v>9.588</v>
      </c>
      <c r="J38" s="27" t="n">
        <v>15.5944069083508</v>
      </c>
      <c r="K38" s="29" t="n">
        <f aca="false">IF(AND(ISNUMBER(G38),G38&gt;0),(F38-E38)/G38,"")</f>
        <v>1.48535228311674</v>
      </c>
      <c r="L38" s="27" t="n">
        <v>1.48535228311674</v>
      </c>
      <c r="M38" s="30" t="n">
        <v>0.53739</v>
      </c>
      <c r="N38" s="28" t="n">
        <v>1.5829002</v>
      </c>
      <c r="O38" s="30" t="n">
        <v>0.10090999</v>
      </c>
      <c r="P38" s="30" t="n">
        <v>0.13015873015873</v>
      </c>
      <c r="Q38" s="25"/>
    </row>
    <row r="39" customFormat="false" ht="15" hidden="false" customHeight="false" outlineLevel="0" collapsed="false">
      <c r="B39" s="18" t="s">
        <v>107</v>
      </c>
      <c r="C39" s="25" t="s">
        <v>90</v>
      </c>
      <c r="D39" s="25" t="s">
        <v>62</v>
      </c>
      <c r="E39" s="26" t="n">
        <v>4356.23081702164</v>
      </c>
      <c r="F39" s="26" t="n">
        <v>5156.16596984918</v>
      </c>
      <c r="G39" s="26" t="n">
        <v>448.324212821812</v>
      </c>
      <c r="H39" s="27" t="n">
        <f aca="false">IF(G39&gt;0,F39/G39,"")</f>
        <v>11.5009759062434</v>
      </c>
      <c r="I39" s="28" t="n">
        <v>11.556</v>
      </c>
      <c r="J39" s="27" t="n">
        <v>15.1098056776243</v>
      </c>
      <c r="K39" s="29" t="n">
        <f aca="false">IF(AND(ISNUMBER(G39),G39&gt;0),(F39-E39)/G39,"")</f>
        <v>1.78427827440467</v>
      </c>
      <c r="L39" s="27" t="n">
        <v>1.78427827440467</v>
      </c>
      <c r="M39" s="30" t="n">
        <v>0.47252</v>
      </c>
      <c r="N39" s="28" t="n">
        <v>4.7904196</v>
      </c>
      <c r="O39" s="30" t="n">
        <v>0.31144</v>
      </c>
      <c r="P39" s="30" t="n">
        <v>0.183673469387755</v>
      </c>
      <c r="Q39" s="25"/>
    </row>
    <row r="40" customFormat="false" ht="15" hidden="false" customHeight="false" outlineLevel="0" collapsed="false">
      <c r="B40" s="18" t="s">
        <v>108</v>
      </c>
      <c r="C40" s="25" t="s">
        <v>90</v>
      </c>
      <c r="D40" s="25" t="s">
        <v>62</v>
      </c>
      <c r="E40" s="26" t="n">
        <v>1851.45204479664</v>
      </c>
      <c r="F40" s="26" t="n">
        <v>3410.52642309953</v>
      </c>
      <c r="G40" s="26" t="n">
        <v>295.213607605467</v>
      </c>
      <c r="H40" s="27" t="n">
        <f aca="false">IF(G40&gt;0,F40/G40,"")</f>
        <v>11.5527412532334</v>
      </c>
      <c r="I40" s="28" t="n">
        <v>12.104</v>
      </c>
      <c r="J40" s="27" t="n">
        <v>17.8271398341076</v>
      </c>
      <c r="K40" s="29" t="n">
        <f aca="false">IF(AND(ISNUMBER(G40),G40&gt;0),(F40-E40)/G40,"")</f>
        <v>5.28117382849944</v>
      </c>
      <c r="L40" s="27" t="n">
        <v>5.28117382849944</v>
      </c>
      <c r="M40" s="30" t="n">
        <v>0.43787</v>
      </c>
      <c r="N40" s="28" t="n">
        <v>1.106994</v>
      </c>
      <c r="O40" s="30" t="n">
        <v>0.06123</v>
      </c>
      <c r="P40" s="30" t="n">
        <v>0.282282282282282</v>
      </c>
      <c r="Q40" s="25"/>
    </row>
    <row r="41" customFormat="false" ht="15" hidden="false" customHeight="false" outlineLevel="0" collapsed="false">
      <c r="B41" s="18" t="s">
        <v>109</v>
      </c>
      <c r="C41" s="25" t="s">
        <v>110</v>
      </c>
      <c r="D41" s="25" t="s">
        <v>58</v>
      </c>
      <c r="E41" s="26" t="n">
        <v>406838.116352</v>
      </c>
      <c r="F41" s="26" t="n">
        <v>327681.114112</v>
      </c>
      <c r="G41" s="26"/>
      <c r="H41" s="27"/>
      <c r="I41" s="28"/>
      <c r="J41" s="27" t="n">
        <v>12.6642216468343</v>
      </c>
      <c r="K41" s="29"/>
      <c r="L41" s="27"/>
      <c r="M41" s="30" t="n">
        <v>0</v>
      </c>
      <c r="N41" s="28" t="n">
        <v>1.4788268</v>
      </c>
      <c r="O41" s="30" t="n">
        <v>0.111990005</v>
      </c>
      <c r="P41" s="30" t="n">
        <v>0.108079104706424</v>
      </c>
      <c r="Q41" s="25"/>
    </row>
    <row r="42" customFormat="false" ht="15" hidden="false" customHeight="false" outlineLevel="0" collapsed="false">
      <c r="B42" s="18" t="s">
        <v>111</v>
      </c>
      <c r="C42" s="25" t="s">
        <v>110</v>
      </c>
      <c r="D42" s="25" t="s">
        <v>58</v>
      </c>
      <c r="E42" s="26" t="n">
        <v>928531.021824</v>
      </c>
      <c r="F42" s="26" t="n">
        <v>745418.981376</v>
      </c>
      <c r="G42" s="26"/>
      <c r="H42" s="27"/>
      <c r="I42" s="28"/>
      <c r="J42" s="27" t="n">
        <v>14.5917433103035</v>
      </c>
      <c r="K42" s="29"/>
      <c r="L42" s="27"/>
      <c r="M42" s="30" t="n">
        <v>0</v>
      </c>
      <c r="N42" s="28" t="n">
        <v>2.6262527</v>
      </c>
      <c r="O42" s="30" t="n">
        <v>0.17789</v>
      </c>
      <c r="P42" s="30" t="n">
        <v>0.0469031377899045</v>
      </c>
      <c r="Q42" s="25"/>
    </row>
    <row r="43" customFormat="false" ht="15" hidden="false" customHeight="false" outlineLevel="0" collapsed="false">
      <c r="B43" s="18" t="s">
        <v>112</v>
      </c>
      <c r="C43" s="25" t="s">
        <v>110</v>
      </c>
      <c r="D43" s="25" t="s">
        <v>60</v>
      </c>
      <c r="E43" s="26" t="n">
        <v>415016.419328</v>
      </c>
      <c r="F43" s="26" t="n">
        <v>443561.4208</v>
      </c>
      <c r="G43" s="26" t="n">
        <v>50661.998592</v>
      </c>
      <c r="H43" s="27" t="n">
        <f aca="false">IF(G43&gt;0,F43/G43,"")</f>
        <v>8.75530837960353</v>
      </c>
      <c r="I43" s="28" t="n">
        <v>8.867</v>
      </c>
      <c r="J43" s="27" t="n">
        <v>20.1552342459106</v>
      </c>
      <c r="K43" s="29" t="n">
        <f aca="false">IF(AND(ISNUMBER(G43),G43&gt;0),(F43-E43)/G43,"")</f>
        <v>0.56344009840361</v>
      </c>
      <c r="L43" s="27" t="n">
        <v>0.563440098403609</v>
      </c>
      <c r="M43" s="30" t="n">
        <v>0.24195999</v>
      </c>
      <c r="N43" s="28" t="n">
        <v>2.1856406</v>
      </c>
      <c r="O43" s="30" t="n">
        <v>0.12231</v>
      </c>
      <c r="P43" s="30" t="n">
        <v>0.0285150151529067</v>
      </c>
      <c r="Q43" s="25"/>
    </row>
    <row r="44" customFormat="false" ht="15" hidden="false" customHeight="false" outlineLevel="0" collapsed="false">
      <c r="B44" s="18" t="s">
        <v>113</v>
      </c>
      <c r="C44" s="25" t="s">
        <v>110</v>
      </c>
      <c r="D44" s="25" t="s">
        <v>60</v>
      </c>
      <c r="E44" s="26" t="n">
        <v>671351.898112</v>
      </c>
      <c r="F44" s="26" t="n">
        <v>703131.897856</v>
      </c>
      <c r="G44" s="26" t="n">
        <v>67937.001472</v>
      </c>
      <c r="H44" s="27" t="n">
        <f aca="false">IF(G44&gt;0,F44/G44,"")</f>
        <v>10.3497634959028</v>
      </c>
      <c r="I44" s="28" t="n">
        <v>10.449</v>
      </c>
      <c r="J44" s="27" t="n">
        <v>20.4949138864052</v>
      </c>
      <c r="K44" s="29" t="n">
        <f aca="false">IF(AND(ISNUMBER(G44),G44&gt;0),(F44-E44)/G44,"")</f>
        <v>0.467786317550357</v>
      </c>
      <c r="L44" s="27" t="n">
        <v>0.467786317550356</v>
      </c>
      <c r="M44" s="30" t="n">
        <v>0.18816</v>
      </c>
      <c r="N44" s="28" t="n">
        <v>2.5883005</v>
      </c>
      <c r="O44" s="30" t="n">
        <v>0.12584</v>
      </c>
      <c r="P44" s="30" t="n">
        <v>0.0744855733801938</v>
      </c>
      <c r="Q44" s="25"/>
    </row>
    <row r="45" customFormat="false" ht="15" hidden="false" customHeight="false" outlineLevel="0" collapsed="false">
      <c r="B45" s="18" t="s">
        <v>114</v>
      </c>
      <c r="C45" s="25" t="s">
        <v>110</v>
      </c>
      <c r="D45" s="25" t="s">
        <v>60</v>
      </c>
      <c r="E45" s="26" t="n">
        <v>118778.71616</v>
      </c>
      <c r="F45" s="26" t="n">
        <v>122253.71648</v>
      </c>
      <c r="G45" s="26" t="n">
        <v>13379.00032</v>
      </c>
      <c r="H45" s="27" t="n">
        <f aca="false">IF(G45&gt;0,F45/G45,"")</f>
        <v>9.13773178532968</v>
      </c>
      <c r="I45" s="28" t="n">
        <v>9.382</v>
      </c>
      <c r="J45" s="27" t="n">
        <v>16.513098459174</v>
      </c>
      <c r="K45" s="29" t="n">
        <f aca="false">IF(AND(ISNUMBER(G45),G45&gt;0),(F45-E45)/G45,"")</f>
        <v>0.259735423939358</v>
      </c>
      <c r="L45" s="27" t="n">
        <v>0.259735423939358</v>
      </c>
      <c r="M45" s="30" t="n">
        <v>0.10103</v>
      </c>
      <c r="N45" s="28" t="n">
        <v>4.7510076</v>
      </c>
      <c r="O45" s="30" t="n">
        <v>0.27637</v>
      </c>
      <c r="P45" s="30" t="n">
        <v>0.00220587168212238</v>
      </c>
      <c r="Q45" s="25"/>
    </row>
    <row r="46" customFormat="false" ht="15" hidden="false" customHeight="false" outlineLevel="0" collapsed="false">
      <c r="B46" s="18" t="s">
        <v>115</v>
      </c>
      <c r="C46" s="25" t="s">
        <v>110</v>
      </c>
      <c r="D46" s="25" t="s">
        <v>76</v>
      </c>
      <c r="E46" s="26" t="n">
        <v>116446.45376</v>
      </c>
      <c r="F46" s="26" t="n">
        <v>114663.656448</v>
      </c>
      <c r="G46" s="26" t="n">
        <v>12943.767552</v>
      </c>
      <c r="H46" s="27" t="n">
        <f aca="false">IF(G46&gt;0,F46/G46,"")</f>
        <v>8.85859978459539</v>
      </c>
      <c r="I46" s="28" t="n">
        <v>8.984</v>
      </c>
      <c r="J46" s="27" t="n">
        <v>14.9486731580345</v>
      </c>
      <c r="K46" s="29" t="n">
        <f aca="false">IF(AND(ISNUMBER(G46),G46&gt;0),(F46-E46)/G46,"")</f>
        <v>-0.137734033374583</v>
      </c>
      <c r="L46" s="27" t="n">
        <v>-0.137734033374582</v>
      </c>
      <c r="M46" s="30" t="n">
        <v>0.17707</v>
      </c>
      <c r="N46" s="28" t="n">
        <v>3.6509275</v>
      </c>
      <c r="O46" s="30" t="n">
        <v>0.24406</v>
      </c>
      <c r="P46" s="30" t="n">
        <v>0.34628465423065</v>
      </c>
      <c r="Q46" s="25"/>
    </row>
    <row r="47" customFormat="false" ht="15" hidden="false" customHeight="false" outlineLevel="0" collapsed="false">
      <c r="B47" s="18" t="s">
        <v>116</v>
      </c>
      <c r="C47" s="25" t="s">
        <v>110</v>
      </c>
      <c r="D47" s="25" t="s">
        <v>76</v>
      </c>
      <c r="E47" s="26" t="n">
        <v>27873.488896</v>
      </c>
      <c r="F47" s="26" t="n">
        <v>28916.488896</v>
      </c>
      <c r="G47" s="26" t="n">
        <v>4036</v>
      </c>
      <c r="H47" s="27" t="n">
        <f aca="false">IF(G47&gt;0,F47/G47,"")</f>
        <v>7.16464045986125</v>
      </c>
      <c r="I47" s="28" t="n">
        <v>7.165</v>
      </c>
      <c r="J47" s="27" t="n">
        <v>12.5556256288288</v>
      </c>
      <c r="K47" s="29" t="n">
        <f aca="false">IF(AND(ISNUMBER(G47),G47&gt;0),(F47-E47)/G47,"")</f>
        <v>0.258424182358771</v>
      </c>
      <c r="L47" s="27" t="n">
        <v>0.258424182358771</v>
      </c>
      <c r="M47" s="30" t="n">
        <v>0.18649</v>
      </c>
      <c r="N47" s="28" t="n">
        <v>1.9339918</v>
      </c>
      <c r="O47" s="30" t="n">
        <v>0.14924</v>
      </c>
      <c r="P47" s="30" t="n">
        <v>0.288980811214524</v>
      </c>
      <c r="Q47" s="25"/>
    </row>
    <row r="48" customFormat="false" ht="15" hidden="false" customHeight="false" outlineLevel="0" collapsed="false">
      <c r="B48" s="18" t="s">
        <v>117</v>
      </c>
      <c r="C48" s="25" t="s">
        <v>110</v>
      </c>
      <c r="D48" s="25" t="s">
        <v>76</v>
      </c>
      <c r="E48" s="26" t="n">
        <v>6040.835072</v>
      </c>
      <c r="F48" s="26" t="n">
        <v>5403.681088</v>
      </c>
      <c r="G48" s="26" t="n">
        <v>753.348992</v>
      </c>
      <c r="H48" s="27" t="n">
        <f aca="false">IF(G48&gt;0,F48/G48,"")</f>
        <v>7.17287889860215</v>
      </c>
      <c r="I48" s="28" t="n">
        <v>7.174</v>
      </c>
      <c r="J48" s="27" t="n">
        <v>15.0392980092395</v>
      </c>
      <c r="K48" s="29" t="n">
        <f aca="false">IF(AND(ISNUMBER(G48),G48&gt;0),(F48-E48)/G48,"")</f>
        <v>-0.845762044903618</v>
      </c>
      <c r="L48" s="27" t="n">
        <v>-0.845762044903619</v>
      </c>
      <c r="M48" s="30" t="n">
        <v>0.13413</v>
      </c>
      <c r="N48" s="28" t="n">
        <v>1.7167068</v>
      </c>
      <c r="O48" s="30" t="n">
        <v>0.111770004</v>
      </c>
      <c r="P48" s="30" t="n">
        <v>0.47377881633937</v>
      </c>
      <c r="Q48" s="25"/>
    </row>
    <row r="49" customFormat="false" ht="15" hidden="false" customHeight="false" outlineLevel="0" collapsed="false">
      <c r="B49" s="18" t="s">
        <v>118</v>
      </c>
      <c r="C49" s="25" t="s">
        <v>110</v>
      </c>
      <c r="D49" s="25" t="s">
        <v>85</v>
      </c>
      <c r="E49" s="26" t="n">
        <v>396439.027712</v>
      </c>
      <c r="F49" s="26" t="n">
        <v>384675.027456</v>
      </c>
      <c r="G49" s="26" t="n">
        <v>13790.000128</v>
      </c>
      <c r="H49" s="27" t="n">
        <f aca="false">IF(G49&gt;0,F49/G49,"")</f>
        <v>27.8952156552148</v>
      </c>
      <c r="I49" s="28" t="n">
        <v>27.895</v>
      </c>
      <c r="J49" s="27" t="n">
        <v>44.8561942675694</v>
      </c>
      <c r="K49" s="29" t="n">
        <f aca="false">IF(AND(ISNUMBER(G49),G49&gt;0),(F49-E49)/G49,"")</f>
        <v>-0.85308195408307</v>
      </c>
      <c r="L49" s="27" t="n">
        <v>-0.853081954083068</v>
      </c>
      <c r="M49" s="30" t="n">
        <v>0.04697</v>
      </c>
      <c r="N49" s="28" t="n">
        <v>11.831826</v>
      </c>
      <c r="O49" s="30" t="n">
        <v>0.29152</v>
      </c>
      <c r="P49" s="30" t="n">
        <v>0.184742362061104</v>
      </c>
      <c r="Q49" s="25"/>
    </row>
    <row r="50" customFormat="false" ht="15" hidden="false" customHeight="false" outlineLevel="0" collapsed="false">
      <c r="B50" s="18" t="s">
        <v>119</v>
      </c>
      <c r="C50" s="25" t="s">
        <v>110</v>
      </c>
      <c r="D50" s="25" t="s">
        <v>85</v>
      </c>
      <c r="E50" s="26" t="n">
        <v>72610.250752</v>
      </c>
      <c r="F50" s="26" t="n">
        <v>86395.2512</v>
      </c>
      <c r="G50" s="26" t="n">
        <v>8593.000448</v>
      </c>
      <c r="H50" s="27" t="n">
        <f aca="false">IF(G50&gt;0,F50/G50,"")</f>
        <v>10.0541425224886</v>
      </c>
      <c r="I50" s="28" t="n">
        <v>10.054</v>
      </c>
      <c r="J50" s="27" t="n">
        <v>16.5323886047359</v>
      </c>
      <c r="K50" s="29" t="n">
        <f aca="false">IF(AND(ISNUMBER(G50),G50&gt;0),(F50-E50)/G50,"")</f>
        <v>1.60421269979201</v>
      </c>
      <c r="L50" s="27" t="n">
        <v>1.60421269979201</v>
      </c>
      <c r="M50" s="30" t="n">
        <v>0.079780005</v>
      </c>
      <c r="N50" s="28" t="n">
        <v>4.0693026</v>
      </c>
      <c r="O50" s="30" t="n">
        <v>0.26408002</v>
      </c>
      <c r="P50" s="30" t="n">
        <v>0.0639531478770131</v>
      </c>
      <c r="Q50" s="25"/>
    </row>
    <row r="51" customFormat="false" ht="15" hidden="false" customHeight="false" outlineLevel="0" collapsed="false">
      <c r="B51" s="18" t="s">
        <v>120</v>
      </c>
      <c r="C51" s="25" t="s">
        <v>110</v>
      </c>
      <c r="D51" s="25" t="s">
        <v>85</v>
      </c>
      <c r="E51" s="26" t="n">
        <v>849843.257344</v>
      </c>
      <c r="F51" s="26" t="n">
        <v>913406.258176</v>
      </c>
      <c r="G51" s="26" t="n">
        <v>44073.00096</v>
      </c>
      <c r="H51" s="27" t="n">
        <f aca="false">IF(G51&gt;0,F51/G51,"")</f>
        <v>20.7248482808102</v>
      </c>
      <c r="I51" s="28" t="n">
        <v>20.815</v>
      </c>
      <c r="J51" s="27" t="n">
        <v>38.4962514716869</v>
      </c>
      <c r="K51" s="29" t="n">
        <f aca="false">IF(AND(ISNUMBER(G51),G51&gt;0),(F51-E51)/G51,"")</f>
        <v>1.44222084830776</v>
      </c>
      <c r="L51" s="27" t="n">
        <v>1.44222084830776</v>
      </c>
      <c r="M51" s="30" t="n">
        <v>0.05989</v>
      </c>
      <c r="N51" s="28" t="n">
        <v>9.013336</v>
      </c>
      <c r="O51" s="30" t="n">
        <v>0.22313999</v>
      </c>
      <c r="P51" s="30" t="n">
        <v>0.209899378514353</v>
      </c>
      <c r="Q51" s="25"/>
    </row>
    <row r="52" customFormat="false" ht="15" hidden="false" customHeight="false" outlineLevel="0" collapsed="false">
      <c r="B52" s="18" t="s">
        <v>121</v>
      </c>
      <c r="C52" s="25" t="s">
        <v>110</v>
      </c>
      <c r="D52" s="25" t="s">
        <v>122</v>
      </c>
      <c r="E52" s="26" t="n">
        <v>4918238.773248</v>
      </c>
      <c r="F52" s="26" t="n">
        <v>4940183.769088</v>
      </c>
      <c r="G52" s="26" t="n">
        <v>167959.003136</v>
      </c>
      <c r="H52" s="27" t="n">
        <f aca="false">IF(G52&gt;0,F52/G52,"")</f>
        <v>29.4130334001079</v>
      </c>
      <c r="I52" s="28" t="n">
        <v>29.413</v>
      </c>
      <c r="J52" s="27" t="n">
        <v>38.1465826054221</v>
      </c>
      <c r="K52" s="29" t="n">
        <f aca="false">IF(AND(ISNUMBER(G52),G52&gt;0),(F52-E52)/G52,"")</f>
        <v>0.13065685929459</v>
      </c>
      <c r="L52" s="27" t="n">
        <v>0.13065685929459</v>
      </c>
      <c r="M52" s="30" t="n">
        <v>0.35979</v>
      </c>
      <c r="N52" s="28" t="n">
        <v>45.788044</v>
      </c>
      <c r="O52" s="30" t="n">
        <v>1.4875101</v>
      </c>
      <c r="P52" s="30" t="n">
        <v>0.0219694111501292</v>
      </c>
      <c r="Q52" s="31" t="s">
        <v>97</v>
      </c>
    </row>
    <row r="53" customFormat="false" ht="15" hidden="false" customHeight="false" outlineLevel="0" collapsed="false">
      <c r="B53" s="18" t="s">
        <v>123</v>
      </c>
      <c r="C53" s="25" t="s">
        <v>110</v>
      </c>
      <c r="D53" s="25" t="s">
        <v>122</v>
      </c>
      <c r="E53" s="26" t="n">
        <v>3696065.511424</v>
      </c>
      <c r="F53" s="26" t="n">
        <v>3748035.510272</v>
      </c>
      <c r="G53" s="26" t="n">
        <v>194237.005824</v>
      </c>
      <c r="H53" s="27" t="n">
        <f aca="false">IF(G53&gt;0,F53/G53,"")</f>
        <v>19.2961969032211</v>
      </c>
      <c r="I53" s="28" t="n">
        <v>19.296</v>
      </c>
      <c r="J53" s="27" t="n">
        <v>27.6343416602243</v>
      </c>
      <c r="K53" s="29" t="n">
        <f aca="false">IF(AND(ISNUMBER(G53),G53&gt;0),(F53-E53)/G53,"")</f>
        <v>0.267559719773948</v>
      </c>
      <c r="L53" s="27" t="n">
        <v>0.267559719773947</v>
      </c>
      <c r="M53" s="30" t="n">
        <v>0.58534</v>
      </c>
      <c r="N53" s="28" t="n">
        <v>8.356418</v>
      </c>
      <c r="O53" s="30" t="n">
        <v>0.34039003</v>
      </c>
      <c r="P53" s="30" t="n">
        <v>0.101079968214982</v>
      </c>
      <c r="Q53" s="25"/>
    </row>
    <row r="54" customFormat="false" ht="15" hidden="false" customHeight="false" outlineLevel="0" collapsed="false">
      <c r="B54" s="18" t="s">
        <v>124</v>
      </c>
      <c r="C54" s="25" t="s">
        <v>110</v>
      </c>
      <c r="D54" s="25" t="s">
        <v>88</v>
      </c>
      <c r="E54" s="26" t="n">
        <v>173982.072832</v>
      </c>
      <c r="F54" s="26" t="n">
        <v>322168.066048</v>
      </c>
      <c r="G54" s="26" t="n">
        <v>44939.001856</v>
      </c>
      <c r="H54" s="27" t="n">
        <f aca="false">IF(G54&gt;0,F54/G54,"")</f>
        <v>7.16900804962996</v>
      </c>
      <c r="I54" s="28" t="n">
        <v>7.569</v>
      </c>
      <c r="J54" s="27" t="n">
        <v>8.09972425414613</v>
      </c>
      <c r="K54" s="29" t="n">
        <f aca="false">IF(AND(ISNUMBER(G54),G54&gt;0),(F54-E54)/G54,"")</f>
        <v>3.29749186888571</v>
      </c>
      <c r="L54" s="27" t="n">
        <v>3.29749186888571</v>
      </c>
      <c r="M54" s="30" t="n">
        <v>0.35319</v>
      </c>
      <c r="N54" s="28" t="n">
        <v>1.5813403</v>
      </c>
      <c r="O54" s="30" t="n">
        <v>0.18339</v>
      </c>
      <c r="P54" s="30" t="n">
        <v>0.137567934782609</v>
      </c>
      <c r="Q54" s="25"/>
    </row>
    <row r="55" customFormat="false" ht="15" hidden="false" customHeight="false" outlineLevel="0" collapsed="false">
      <c r="B55" s="18" t="s">
        <v>125</v>
      </c>
      <c r="C55" s="25" t="s">
        <v>110</v>
      </c>
      <c r="D55" s="25" t="s">
        <v>88</v>
      </c>
      <c r="E55" s="26" t="n">
        <v>200800.305152</v>
      </c>
      <c r="F55" s="26" t="n">
        <v>392650.307328</v>
      </c>
      <c r="G55" s="26" t="n">
        <v>51081.998336</v>
      </c>
      <c r="H55" s="27" t="n">
        <f aca="false">IF(G55&gt;0,F55/G55,"")</f>
        <v>7.68666693000693</v>
      </c>
      <c r="I55" s="28" t="n">
        <v>7.712</v>
      </c>
      <c r="J55" s="27" t="n">
        <v>12.4165410569729</v>
      </c>
      <c r="K55" s="29" t="n">
        <f aca="false">IF(AND(ISNUMBER(G55),G55&gt;0),(F55-E55)/G55,"")</f>
        <v>3.75572625240845</v>
      </c>
      <c r="L55" s="27" t="n">
        <v>3.75572625240845</v>
      </c>
      <c r="M55" s="30" t="n">
        <v>0.36777002</v>
      </c>
      <c r="N55" s="28" t="n">
        <v>1.9322727</v>
      </c>
      <c r="O55" s="30" t="n">
        <v>0.15842</v>
      </c>
      <c r="P55" s="30" t="n">
        <v>0.0648219814241486</v>
      </c>
      <c r="Q55" s="25"/>
    </row>
    <row r="56" customFormat="false" ht="15" hidden="false" customHeight="false" outlineLevel="0" collapsed="false">
      <c r="B56" s="18" t="s">
        <v>126</v>
      </c>
      <c r="C56" s="25" t="s">
        <v>110</v>
      </c>
      <c r="D56" s="25" t="s">
        <v>62</v>
      </c>
      <c r="E56" s="26" t="n">
        <v>39601.250304</v>
      </c>
      <c r="F56" s="26" t="n">
        <v>66451.250304</v>
      </c>
      <c r="G56" s="26" t="n">
        <v>6161.999872</v>
      </c>
      <c r="H56" s="27" t="n">
        <f aca="false">IF(G56&gt;0,F56/G56,"")</f>
        <v>10.7840395463092</v>
      </c>
      <c r="I56" s="28" t="n">
        <v>10.784</v>
      </c>
      <c r="J56" s="27" t="n">
        <v>17.8625401205244</v>
      </c>
      <c r="K56" s="29" t="n">
        <f aca="false">IF(AND(ISNUMBER(G56),G56&gt;0),(F56-E56)/G56,"")</f>
        <v>4.35735159976323</v>
      </c>
      <c r="L56" s="27" t="n">
        <v>4.35735159976323</v>
      </c>
      <c r="M56" s="30" t="n">
        <v>0.34835</v>
      </c>
      <c r="N56" s="28" t="n">
        <v>1.5404756</v>
      </c>
      <c r="O56" s="30" t="n">
        <v>0.08962</v>
      </c>
      <c r="P56" s="30" t="n">
        <v>0.0787232211993462</v>
      </c>
      <c r="Q56" s="25"/>
    </row>
    <row r="57" customFormat="false" ht="15" hidden="false" customHeight="false" outlineLevel="0" collapsed="false">
      <c r="B57" s="18" t="s">
        <v>127</v>
      </c>
      <c r="C57" s="25" t="s">
        <v>110</v>
      </c>
      <c r="D57" s="25" t="s">
        <v>62</v>
      </c>
      <c r="E57" s="26" t="n">
        <v>92425.904128</v>
      </c>
      <c r="F57" s="26" t="n">
        <v>183958.902208</v>
      </c>
      <c r="G57" s="26" t="n">
        <v>16616.999936</v>
      </c>
      <c r="H57" s="27" t="n">
        <f aca="false">IF(G57&gt;0,F57/G57,"")</f>
        <v>11.0705243375166</v>
      </c>
      <c r="I57" s="28" t="n">
        <v>11.256</v>
      </c>
      <c r="J57" s="27" t="n">
        <v>17.884269374613</v>
      </c>
      <c r="K57" s="29" t="n">
        <f aca="false">IF(AND(ISNUMBER(G57),G57&gt;0),(F57-E57)/G57,"")</f>
        <v>5.50839492282225</v>
      </c>
      <c r="L57" s="27" t="n">
        <v>5.50839492282225</v>
      </c>
      <c r="M57" s="30" t="n">
        <v>0.50657004</v>
      </c>
      <c r="N57" s="28" t="n">
        <v>1.7193166</v>
      </c>
      <c r="O57" s="30" t="n">
        <v>0.098570004</v>
      </c>
      <c r="P57" s="30" t="n">
        <v>0.11859617815451</v>
      </c>
      <c r="Q57" s="25"/>
    </row>
    <row r="59" customFormat="false" ht="15.75" hidden="false" customHeight="true" outlineLevel="0" collapsed="false">
      <c r="B59" s="22" t="s">
        <v>128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5" hidden="false" customHeight="false" outlineLevel="0" collapsed="false">
      <c r="B60" s="18" t="s">
        <v>68</v>
      </c>
      <c r="C60" s="27" t="n">
        <f aca="false" t="array" ref="C60:C60">MEDIAN(IF((D6:D57="Consumer")*(ISNUMBER(H6:H57)),H6:H57))</f>
        <v>31.8159144730437</v>
      </c>
    </row>
    <row r="61" customFormat="false" ht="15" hidden="false" customHeight="false" outlineLevel="0" collapsed="false">
      <c r="B61" s="18" t="s">
        <v>60</v>
      </c>
      <c r="C61" s="27" t="n">
        <f aca="false" t="array" ref="C61:C61">MEDIAN(IF((D6:D57="Energy")*(ISNUMBER(H6:H57)),H6:H57))</f>
        <v>8.75530837960353</v>
      </c>
    </row>
    <row r="62" customFormat="false" ht="15" hidden="false" customHeight="false" outlineLevel="0" collapsed="false">
      <c r="B62" s="18" t="s">
        <v>76</v>
      </c>
      <c r="C62" s="27" t="n">
        <f aca="false" t="array" ref="C62:C62">MEDIAN(IF((D6:D57="IT services")*(ISNUMBER(H6:H57)),H6:H57))</f>
        <v>8.85859978459539</v>
      </c>
    </row>
    <row r="63" customFormat="false" ht="15" hidden="false" customHeight="false" outlineLevel="0" collapsed="false">
      <c r="B63" s="18" t="s">
        <v>83</v>
      </c>
      <c r="C63" s="27" t="n">
        <f aca="false" t="array" ref="C63:C63">MEDIAN(IF((D6:D57="Infrastructure")*(ISNUMBER(H6:H57)),H6:H57))</f>
        <v>18.3932326296564</v>
      </c>
    </row>
    <row r="64" customFormat="false" ht="15" hidden="false" customHeight="false" outlineLevel="0" collapsed="false">
      <c r="B64" s="18" t="s">
        <v>99</v>
      </c>
      <c r="C64" s="27" t="n">
        <f aca="false" t="array" ref="C64:C64">MEDIAN(IF((D6:D57="Real estate")*(ISNUMBER(H6:H57)),H6:H57))</f>
        <v>1.87600072470269</v>
      </c>
    </row>
    <row r="65" customFormat="false" ht="15" hidden="false" customHeight="false" outlineLevel="0" collapsed="false">
      <c r="B65" s="18" t="s">
        <v>85</v>
      </c>
      <c r="C65" s="27" t="n">
        <f aca="false" t="array" ref="C65:C65">MEDIAN(IF((D6:D57="Retail")*(ISNUMBER(H6:H57)),H6:H57))</f>
        <v>27.8952156552148</v>
      </c>
    </row>
    <row r="66" customFormat="false" ht="15" hidden="false" customHeight="false" outlineLevel="0" collapsed="false">
      <c r="B66" s="18" t="s">
        <v>122</v>
      </c>
      <c r="C66" s="27" t="n">
        <f aca="false" t="array" ref="C66:C66">MEDIAN(IF((D6:D57="Technology")*(ISNUMBER(H6:H57)),H6:H57))</f>
        <v>24.3546151516645</v>
      </c>
    </row>
    <row r="67" customFormat="false" ht="15" hidden="false" customHeight="false" outlineLevel="0" collapsed="false">
      <c r="B67" s="18" t="s">
        <v>88</v>
      </c>
      <c r="C67" s="27" t="n">
        <f aca="false" t="array" ref="C67:C67">MEDIAN(IF((D6:D57="Telecom")*(ISNUMBER(H6:H57)),H6:H57))</f>
        <v>9.32692095931241</v>
      </c>
    </row>
    <row r="68" customFormat="false" ht="15" hidden="false" customHeight="false" outlineLevel="0" collapsed="false">
      <c r="B68" s="18" t="s">
        <v>62</v>
      </c>
      <c r="C68" s="27" t="n">
        <f aca="false" t="array" ref="C68:C68">MEDIAN(IF((D6:D57="Utilities")*(ISNUMBER(H6:H57)),H6:H57))</f>
        <v>10.9272819419129</v>
      </c>
    </row>
    <row r="69" customFormat="false" ht="43.5" hidden="false" customHeight="true" outlineLevel="0" collapsed="false">
      <c r="B69" s="17" t="s">
        <v>129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</row>
  </sheetData>
  <mergeCells count="1">
    <mergeCell ref="B69:P69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&amp;L&amp;"Arial,Bold"&amp;8DFM · ADX · Tadawul · NSE · US — Deal-Sourcing and Comps-Refresh Dashboard&amp;R&amp;"Arial,Regular"&amp;8Comps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8"/>
    <col collapsed="false" customWidth="true" hidden="false" outlineLevel="0" max="9" min="3" style="0" width="12"/>
    <col collapsed="false" customWidth="true" hidden="false" outlineLevel="0" max="10" min="10" style="0" width="46"/>
  </cols>
  <sheetData>
    <row r="1" customFormat="false" ht="30" hidden="false" customHeight="true" outlineLevel="0" collapsed="false">
      <c r="A1" s="1"/>
      <c r="B1" s="19" t="s">
        <v>36</v>
      </c>
      <c r="C1" s="1"/>
      <c r="D1" s="1"/>
      <c r="E1" s="1"/>
      <c r="F1" s="1"/>
      <c r="G1" s="1"/>
      <c r="H1" s="1"/>
      <c r="I1" s="1"/>
      <c r="J1" s="20" t="s">
        <v>37</v>
      </c>
    </row>
    <row r="2" customFormat="false" ht="18" hidden="false" customHeight="true" outlineLevel="0" collapsed="false">
      <c r="A2" s="1"/>
      <c r="B2" s="21" t="s">
        <v>130</v>
      </c>
      <c r="C2" s="1"/>
      <c r="D2" s="1"/>
      <c r="E2" s="1"/>
      <c r="F2" s="1"/>
      <c r="G2" s="1"/>
      <c r="H2" s="1"/>
      <c r="I2" s="1"/>
      <c r="J2" s="1"/>
    </row>
    <row r="4" customFormat="false" ht="15.75" hidden="false" customHeight="true" outlineLevel="0" collapsed="false">
      <c r="B4" s="22" t="s">
        <v>131</v>
      </c>
      <c r="C4" s="1"/>
      <c r="D4" s="1"/>
      <c r="E4" s="1"/>
      <c r="F4" s="1"/>
      <c r="G4" s="1"/>
      <c r="H4" s="1"/>
      <c r="I4" s="1"/>
      <c r="J4" s="1"/>
    </row>
    <row r="5" customFormat="false" ht="27.75" hidden="false" customHeight="true" outlineLevel="0" collapsed="false">
      <c r="B5" s="23" t="s">
        <v>40</v>
      </c>
      <c r="C5" s="24" t="s">
        <v>41</v>
      </c>
      <c r="D5" s="24" t="s">
        <v>42</v>
      </c>
      <c r="E5" s="24" t="s">
        <v>46</v>
      </c>
      <c r="F5" s="24" t="s">
        <v>132</v>
      </c>
      <c r="G5" s="24" t="s">
        <v>49</v>
      </c>
      <c r="H5" s="24" t="s">
        <v>50</v>
      </c>
      <c r="I5" s="24" t="s">
        <v>133</v>
      </c>
      <c r="J5" s="24" t="s">
        <v>134</v>
      </c>
    </row>
    <row r="6" customFormat="false" ht="15" hidden="false" customHeight="false" outlineLevel="0" collapsed="false">
      <c r="B6" s="23" t="s">
        <v>116</v>
      </c>
      <c r="C6" s="25" t="s">
        <v>110</v>
      </c>
      <c r="D6" s="25" t="s">
        <v>76</v>
      </c>
      <c r="E6" s="28" t="n">
        <v>7.16464045986125</v>
      </c>
      <c r="F6" s="30" t="n">
        <v>-0.191222017691763</v>
      </c>
      <c r="G6" s="30" t="n">
        <v>0.0766171868226529</v>
      </c>
      <c r="H6" s="28" t="n">
        <v>0.258424182358771</v>
      </c>
      <c r="I6" s="30" t="n">
        <v>0.18649</v>
      </c>
      <c r="J6" s="26" t="n">
        <v>27873.488896</v>
      </c>
    </row>
    <row r="7" customFormat="false" ht="15" hidden="false" customHeight="false" outlineLevel="0" collapsed="false">
      <c r="B7" s="23" t="s">
        <v>117</v>
      </c>
      <c r="C7" s="25" t="s">
        <v>110</v>
      </c>
      <c r="D7" s="25" t="s">
        <v>76</v>
      </c>
      <c r="E7" s="28" t="n">
        <v>7.17287889860215</v>
      </c>
      <c r="F7" s="30" t="n">
        <v>-0.190292024358592</v>
      </c>
      <c r="G7" s="30" t="n">
        <v>0.120317258811555</v>
      </c>
      <c r="H7" s="28" t="n">
        <v>-0.845762044903619</v>
      </c>
      <c r="I7" s="30" t="n">
        <v>0.13413</v>
      </c>
      <c r="J7" s="26" t="n">
        <v>6040.835072</v>
      </c>
    </row>
    <row r="8" customFormat="false" ht="15" hidden="false" customHeight="false" outlineLevel="0" collapsed="false">
      <c r="B8" s="23" t="s">
        <v>81</v>
      </c>
      <c r="C8" s="25" t="s">
        <v>64</v>
      </c>
      <c r="D8" s="25" t="s">
        <v>76</v>
      </c>
      <c r="E8" s="28" t="n">
        <v>8.21107627749635</v>
      </c>
      <c r="F8" s="30" t="n">
        <v>-0.0730954691310298</v>
      </c>
      <c r="G8" s="30" t="n">
        <v>0.0755691226341555</v>
      </c>
      <c r="H8" s="28" t="n">
        <v>-1.04035545215299</v>
      </c>
      <c r="I8" s="30" t="n">
        <v>0.18414</v>
      </c>
      <c r="J8" s="26" t="n">
        <v>16872.3690980313</v>
      </c>
    </row>
    <row r="10" customFormat="false" ht="43.5" hidden="false" customHeight="true" outlineLevel="0" collapsed="false">
      <c r="B10" s="17" t="s">
        <v>135</v>
      </c>
      <c r="C10" s="17"/>
      <c r="D10" s="17"/>
      <c r="E10" s="17"/>
      <c r="F10" s="17"/>
      <c r="G10" s="17"/>
      <c r="H10" s="17"/>
      <c r="I10" s="17"/>
      <c r="J10" s="17"/>
    </row>
  </sheetData>
  <mergeCells count="1">
    <mergeCell ref="B10:J10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&amp;L&amp;"Arial,Bold"&amp;8DFM · ADX · Tadawul · NSE · US — Deal-Sourcing and Comps-Refresh Dashboard&amp;R&amp;"Arial,Regular"&amp;8Take-Private Screen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8"/>
    <col collapsed="false" customWidth="true" hidden="false" outlineLevel="0" max="8" min="3" style="0" width="12"/>
    <col collapsed="false" customWidth="true" hidden="false" outlineLevel="0" max="9" min="9" style="0" width="46"/>
  </cols>
  <sheetData>
    <row r="1" customFormat="false" ht="30" hidden="false" customHeight="true" outlineLevel="0" collapsed="false">
      <c r="A1" s="1"/>
      <c r="B1" s="19" t="s">
        <v>36</v>
      </c>
      <c r="C1" s="1"/>
      <c r="D1" s="1"/>
      <c r="E1" s="1"/>
      <c r="F1" s="1"/>
      <c r="G1" s="1"/>
      <c r="H1" s="1"/>
      <c r="I1" s="20" t="s">
        <v>37</v>
      </c>
    </row>
    <row r="2" customFormat="false" ht="18" hidden="false" customHeight="true" outlineLevel="0" collapsed="false">
      <c r="A2" s="1"/>
      <c r="B2" s="21" t="s">
        <v>136</v>
      </c>
      <c r="C2" s="1"/>
      <c r="D2" s="1"/>
      <c r="E2" s="1"/>
      <c r="F2" s="1"/>
      <c r="G2" s="1"/>
      <c r="H2" s="1"/>
      <c r="I2" s="1"/>
    </row>
    <row r="4" customFormat="false" ht="15.75" hidden="false" customHeight="true" outlineLevel="0" collapsed="false">
      <c r="B4" s="22" t="s">
        <v>137</v>
      </c>
      <c r="C4" s="1"/>
      <c r="D4" s="1"/>
      <c r="E4" s="1"/>
      <c r="F4" s="1"/>
      <c r="G4" s="1"/>
      <c r="H4" s="1"/>
      <c r="I4" s="1"/>
    </row>
    <row r="5" customFormat="false" ht="27.75" hidden="false" customHeight="true" outlineLevel="0" collapsed="false">
      <c r="B5" s="23" t="s">
        <v>40</v>
      </c>
      <c r="C5" s="24" t="s">
        <v>41</v>
      </c>
      <c r="D5" s="24" t="s">
        <v>42</v>
      </c>
      <c r="E5" s="24" t="s">
        <v>52</v>
      </c>
      <c r="F5" s="24" t="s">
        <v>53</v>
      </c>
      <c r="G5" s="24" t="s">
        <v>138</v>
      </c>
      <c r="H5" s="24" t="s">
        <v>139</v>
      </c>
      <c r="I5" s="24" t="s">
        <v>134</v>
      </c>
    </row>
    <row r="6" customFormat="false" ht="15" hidden="false" customHeight="false" outlineLevel="0" collapsed="false">
      <c r="B6" s="23" t="s">
        <v>93</v>
      </c>
      <c r="C6" s="25" t="s">
        <v>90</v>
      </c>
      <c r="D6" s="25" t="s">
        <v>58</v>
      </c>
      <c r="E6" s="28" t="n">
        <v>1.3602617</v>
      </c>
      <c r="F6" s="30" t="n">
        <v>0.16658</v>
      </c>
      <c r="G6" s="28" t="n">
        <v>1.95114285714286</v>
      </c>
      <c r="H6" s="30" t="n">
        <v>-0.302838490262118</v>
      </c>
      <c r="I6" s="26" t="n">
        <v>52934.9831401624</v>
      </c>
    </row>
    <row r="7" customFormat="false" ht="15" hidden="false" customHeight="false" outlineLevel="0" collapsed="false">
      <c r="B7" s="23" t="s">
        <v>92</v>
      </c>
      <c r="C7" s="25" t="s">
        <v>90</v>
      </c>
      <c r="D7" s="25" t="s">
        <v>58</v>
      </c>
      <c r="E7" s="28" t="n">
        <v>1.215562</v>
      </c>
      <c r="F7" s="30" t="n">
        <v>0.15018</v>
      </c>
      <c r="G7" s="28" t="n">
        <v>1.71685714285714</v>
      </c>
      <c r="H7" s="30" t="n">
        <v>-0.291984190381095</v>
      </c>
      <c r="I7" s="26" t="n">
        <v>14324.748947129</v>
      </c>
    </row>
    <row r="8" customFormat="false" ht="15" hidden="false" customHeight="false" outlineLevel="0" collapsed="false">
      <c r="B8" s="23" t="s">
        <v>95</v>
      </c>
      <c r="C8" s="25" t="s">
        <v>90</v>
      </c>
      <c r="D8" s="25" t="s">
        <v>58</v>
      </c>
      <c r="E8" s="28" t="n">
        <v>1.7675529</v>
      </c>
      <c r="F8" s="30" t="n">
        <v>0.18621</v>
      </c>
      <c r="G8" s="28" t="n">
        <v>2.23157142857143</v>
      </c>
      <c r="H8" s="30" t="n">
        <v>-0.207933531784137</v>
      </c>
      <c r="I8" s="26" t="n">
        <v>18291.8759303976</v>
      </c>
    </row>
    <row r="9" customFormat="false" ht="15" hidden="false" customHeight="false" outlineLevel="0" collapsed="false">
      <c r="B9" s="23" t="s">
        <v>63</v>
      </c>
      <c r="C9" s="25" t="s">
        <v>64</v>
      </c>
      <c r="D9" s="25" t="s">
        <v>58</v>
      </c>
      <c r="E9" s="28" t="n">
        <v>1.859766</v>
      </c>
      <c r="F9" s="30" t="n">
        <v>0.13838</v>
      </c>
      <c r="G9" s="28" t="n">
        <v>1.54828571428571</v>
      </c>
      <c r="H9" s="30" t="n">
        <v>0.201177523528326</v>
      </c>
      <c r="I9" s="26" t="n">
        <v>117756.728009391</v>
      </c>
    </row>
    <row r="10" customFormat="false" ht="15" hidden="false" customHeight="false" outlineLevel="0" collapsed="false">
      <c r="B10" s="23" t="s">
        <v>111</v>
      </c>
      <c r="C10" s="25" t="s">
        <v>110</v>
      </c>
      <c r="D10" s="25" t="s">
        <v>58</v>
      </c>
      <c r="E10" s="28" t="n">
        <v>2.6262527</v>
      </c>
      <c r="F10" s="30" t="n">
        <v>0.17789</v>
      </c>
      <c r="G10" s="28" t="n">
        <v>2.11271428571429</v>
      </c>
      <c r="H10" s="30" t="n">
        <v>0.243070451010887</v>
      </c>
      <c r="I10" s="26" t="n">
        <v>928531.021824</v>
      </c>
    </row>
    <row r="11" customFormat="false" ht="15" hidden="false" customHeight="false" outlineLevel="0" collapsed="false">
      <c r="B11" s="23" t="s">
        <v>109</v>
      </c>
      <c r="C11" s="25" t="s">
        <v>110</v>
      </c>
      <c r="D11" s="25" t="s">
        <v>58</v>
      </c>
      <c r="E11" s="28" t="n">
        <v>1.4788268</v>
      </c>
      <c r="F11" s="30" t="n">
        <v>0.111990005</v>
      </c>
      <c r="G11" s="28" t="n">
        <v>1.17128578571429</v>
      </c>
      <c r="H11" s="30" t="n">
        <v>0.26256701655281</v>
      </c>
      <c r="I11" s="26" t="n">
        <v>406838.116352</v>
      </c>
    </row>
    <row r="12" customFormat="false" ht="15" hidden="false" customHeight="false" outlineLevel="0" collapsed="false">
      <c r="B12" s="23" t="s">
        <v>65</v>
      </c>
      <c r="C12" s="25" t="s">
        <v>64</v>
      </c>
      <c r="D12" s="25" t="s">
        <v>58</v>
      </c>
      <c r="E12" s="28" t="n">
        <v>2.5353663</v>
      </c>
      <c r="F12" s="30" t="n">
        <v>0.16073999</v>
      </c>
      <c r="G12" s="28" t="n">
        <v>1.86771414285714</v>
      </c>
      <c r="H12" s="30" t="n">
        <v>0.357470204793499</v>
      </c>
      <c r="I12" s="26" t="n">
        <v>100661.664328096</v>
      </c>
    </row>
    <row r="13" customFormat="false" ht="15" hidden="false" customHeight="false" outlineLevel="0" collapsed="false">
      <c r="B13" s="23" t="s">
        <v>56</v>
      </c>
      <c r="C13" s="25" t="s">
        <v>57</v>
      </c>
      <c r="D13" s="25" t="s">
        <v>58</v>
      </c>
      <c r="E13" s="28" t="n">
        <v>3.281623</v>
      </c>
      <c r="F13" s="30" t="n">
        <v>0.18521</v>
      </c>
      <c r="G13" s="28" t="n">
        <v>2.21728571428571</v>
      </c>
      <c r="H13" s="30" t="n">
        <v>0.480018104503576</v>
      </c>
      <c r="I13" s="26" t="n">
        <v>105420.080563056</v>
      </c>
    </row>
    <row r="15" customFormat="false" ht="43.5" hidden="false" customHeight="true" outlineLevel="0" collapsed="false">
      <c r="B15" s="17" t="s">
        <v>140</v>
      </c>
      <c r="C15" s="17"/>
      <c r="D15" s="17"/>
      <c r="E15" s="17"/>
      <c r="F15" s="17"/>
      <c r="G15" s="17"/>
      <c r="H15" s="17"/>
      <c r="I15" s="17"/>
    </row>
  </sheetData>
  <mergeCells count="1">
    <mergeCell ref="B15:I15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&amp;L&amp;"Arial,Bold"&amp;8DFM · ADX · Tadawul · NSE · US — Deal-Sourcing and Comps-Refresh Dashboard&amp;R&amp;"Arial,Regular"&amp;8Bank Screen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8"/>
    <col collapsed="false" customWidth="true" hidden="false" outlineLevel="0" max="8" min="3" style="0" width="12"/>
    <col collapsed="false" customWidth="true" hidden="false" outlineLevel="0" max="9" min="9" style="0" width="46"/>
  </cols>
  <sheetData>
    <row r="1" customFormat="false" ht="30" hidden="false" customHeight="true" outlineLevel="0" collapsed="false">
      <c r="A1" s="1"/>
      <c r="B1" s="19" t="s">
        <v>36</v>
      </c>
      <c r="C1" s="1"/>
      <c r="D1" s="1"/>
      <c r="E1" s="1"/>
      <c r="F1" s="1"/>
      <c r="G1" s="1"/>
      <c r="H1" s="1"/>
      <c r="I1" s="20" t="s">
        <v>37</v>
      </c>
    </row>
    <row r="2" customFormat="false" ht="18" hidden="false" customHeight="true" outlineLevel="0" collapsed="false">
      <c r="A2" s="1"/>
      <c r="B2" s="21" t="s">
        <v>141</v>
      </c>
      <c r="C2" s="1"/>
      <c r="D2" s="1"/>
      <c r="E2" s="1"/>
      <c r="F2" s="1"/>
      <c r="G2" s="1"/>
      <c r="H2" s="1"/>
      <c r="I2" s="1"/>
    </row>
    <row r="4" customFormat="false" ht="15.75" hidden="false" customHeight="true" outlineLevel="0" collapsed="false">
      <c r="B4" s="22" t="s">
        <v>142</v>
      </c>
      <c r="C4" s="1"/>
      <c r="D4" s="1"/>
      <c r="E4" s="1"/>
      <c r="F4" s="1"/>
      <c r="G4" s="1"/>
      <c r="H4" s="1"/>
      <c r="I4" s="1"/>
    </row>
    <row r="5" customFormat="false" ht="27.75" hidden="false" customHeight="true" outlineLevel="0" collapsed="false">
      <c r="B5" s="23" t="s">
        <v>40</v>
      </c>
      <c r="C5" s="24" t="s">
        <v>41</v>
      </c>
      <c r="D5" s="24" t="s">
        <v>42</v>
      </c>
      <c r="E5" s="24" t="s">
        <v>143</v>
      </c>
      <c r="F5" s="24" t="s">
        <v>144</v>
      </c>
      <c r="G5" s="24" t="s">
        <v>54</v>
      </c>
      <c r="H5" s="24" t="s">
        <v>46</v>
      </c>
      <c r="I5" s="24" t="s">
        <v>134</v>
      </c>
    </row>
    <row r="6" customFormat="false" ht="15" hidden="false" customHeight="false" outlineLevel="0" collapsed="false">
      <c r="B6" s="23" t="s">
        <v>117</v>
      </c>
      <c r="C6" s="25" t="s">
        <v>110</v>
      </c>
      <c r="D6" s="25" t="s">
        <v>76</v>
      </c>
      <c r="E6" s="32" t="n">
        <v>117.1</v>
      </c>
      <c r="F6" s="32" t="n">
        <v>222.53</v>
      </c>
      <c r="G6" s="30" t="n">
        <v>0.47377881633937</v>
      </c>
      <c r="H6" s="28" t="n">
        <v>7.17287889860215</v>
      </c>
      <c r="I6" s="26" t="n">
        <v>6040.835072</v>
      </c>
    </row>
    <row r="7" customFormat="false" ht="15" hidden="false" customHeight="false" outlineLevel="0" collapsed="false">
      <c r="B7" s="23" t="s">
        <v>86</v>
      </c>
      <c r="C7" s="25" t="s">
        <v>64</v>
      </c>
      <c r="D7" s="25" t="s">
        <v>85</v>
      </c>
      <c r="E7" s="32" t="n">
        <v>2792.7</v>
      </c>
      <c r="F7" s="32" t="n">
        <v>5158</v>
      </c>
      <c r="G7" s="30" t="n">
        <v>0.458569212873207</v>
      </c>
      <c r="H7" s="28" t="n">
        <v>50.7214570401523</v>
      </c>
      <c r="I7" s="26" t="n">
        <v>15530.663999655</v>
      </c>
    </row>
    <row r="8" customFormat="false" ht="15" hidden="false" customHeight="false" outlineLevel="0" collapsed="false">
      <c r="B8" s="23" t="s">
        <v>81</v>
      </c>
      <c r="C8" s="25" t="s">
        <v>64</v>
      </c>
      <c r="D8" s="25" t="s">
        <v>76</v>
      </c>
      <c r="E8" s="32" t="n">
        <v>163.53</v>
      </c>
      <c r="F8" s="32" t="n">
        <v>273.1</v>
      </c>
      <c r="G8" s="30" t="n">
        <v>0.40120834859026</v>
      </c>
      <c r="H8" s="28" t="n">
        <v>8.21107627749635</v>
      </c>
      <c r="I8" s="26" t="n">
        <v>16872.3690980313</v>
      </c>
    </row>
    <row r="9" customFormat="false" ht="15" hidden="false" customHeight="false" outlineLevel="0" collapsed="false">
      <c r="B9" s="23" t="s">
        <v>78</v>
      </c>
      <c r="C9" s="25" t="s">
        <v>64</v>
      </c>
      <c r="D9" s="25" t="s">
        <v>76</v>
      </c>
      <c r="E9" s="32" t="n">
        <v>1044.8</v>
      </c>
      <c r="F9" s="32" t="n">
        <v>1728</v>
      </c>
      <c r="G9" s="30" t="n">
        <v>0.39537037037037</v>
      </c>
      <c r="H9" s="28" t="n">
        <v>9.35578539486801</v>
      </c>
      <c r="I9" s="26" t="n">
        <v>44133.6289422579</v>
      </c>
    </row>
    <row r="10" customFormat="false" ht="15" hidden="false" customHeight="false" outlineLevel="0" collapsed="false">
      <c r="B10" s="23" t="s">
        <v>80</v>
      </c>
      <c r="C10" s="25" t="s">
        <v>64</v>
      </c>
      <c r="D10" s="25" t="s">
        <v>76</v>
      </c>
      <c r="E10" s="32" t="n">
        <v>2116.8</v>
      </c>
      <c r="F10" s="32" t="n">
        <v>3350</v>
      </c>
      <c r="G10" s="30" t="n">
        <v>0.368119402985075</v>
      </c>
      <c r="H10" s="28" t="n">
        <v>10.15908035081</v>
      </c>
      <c r="I10" s="26" t="n">
        <v>79874.5128449336</v>
      </c>
    </row>
    <row r="11" customFormat="false" ht="15" hidden="false" customHeight="false" outlineLevel="0" collapsed="false">
      <c r="B11" s="23" t="s">
        <v>100</v>
      </c>
      <c r="C11" s="25" t="s">
        <v>90</v>
      </c>
      <c r="D11" s="25" t="s">
        <v>99</v>
      </c>
      <c r="E11" s="32" t="n">
        <v>13.4</v>
      </c>
      <c r="F11" s="32" t="n">
        <v>20.7</v>
      </c>
      <c r="G11" s="30" t="n">
        <v>0.352657004830918</v>
      </c>
      <c r="H11" s="28" t="n">
        <v>0.505376775313004</v>
      </c>
      <c r="I11" s="26" t="n">
        <v>14593.372679425</v>
      </c>
    </row>
    <row r="12" customFormat="false" ht="15" hidden="false" customHeight="false" outlineLevel="0" collapsed="false">
      <c r="B12" s="23" t="s">
        <v>115</v>
      </c>
      <c r="C12" s="25" t="s">
        <v>110</v>
      </c>
      <c r="D12" s="25" t="s">
        <v>76</v>
      </c>
      <c r="E12" s="32" t="n">
        <v>190.29</v>
      </c>
      <c r="F12" s="32" t="n">
        <v>291.09</v>
      </c>
      <c r="G12" s="30" t="n">
        <v>0.34628465423065</v>
      </c>
      <c r="H12" s="28" t="n">
        <v>8.85859978459539</v>
      </c>
      <c r="I12" s="26" t="n">
        <v>116446.45376</v>
      </c>
    </row>
    <row r="13" customFormat="false" ht="15" hidden="false" customHeight="false" outlineLevel="0" collapsed="false">
      <c r="B13" s="23" t="s">
        <v>102</v>
      </c>
      <c r="C13" s="25" t="s">
        <v>90</v>
      </c>
      <c r="D13" s="25" t="s">
        <v>99</v>
      </c>
      <c r="E13" s="32" t="n">
        <v>11.74</v>
      </c>
      <c r="F13" s="32" t="n">
        <v>17.25</v>
      </c>
      <c r="G13" s="30" t="n">
        <v>0.319420289855072</v>
      </c>
      <c r="H13" s="28" t="n">
        <v>3.24662467409237</v>
      </c>
      <c r="I13" s="26" t="n">
        <v>28252.1694967225</v>
      </c>
    </row>
    <row r="14" customFormat="false" ht="15" hidden="false" customHeight="false" outlineLevel="0" collapsed="false">
      <c r="B14" s="23" t="s">
        <v>75</v>
      </c>
      <c r="C14" s="25" t="s">
        <v>64</v>
      </c>
      <c r="D14" s="25" t="s">
        <v>76</v>
      </c>
      <c r="E14" s="32" t="n">
        <v>1242.7</v>
      </c>
      <c r="F14" s="32" t="n">
        <v>1780.1</v>
      </c>
      <c r="G14" s="30" t="n">
        <v>0.301893152070108</v>
      </c>
      <c r="H14" s="28" t="n">
        <v>11.8201835307241</v>
      </c>
      <c r="I14" s="26" t="n">
        <v>35067.5913998597</v>
      </c>
    </row>
    <row r="15" customFormat="false" ht="15" hidden="false" customHeight="false" outlineLevel="0" collapsed="false">
      <c r="B15" s="23" t="s">
        <v>116</v>
      </c>
      <c r="C15" s="25" t="s">
        <v>110</v>
      </c>
      <c r="D15" s="25" t="s">
        <v>76</v>
      </c>
      <c r="E15" s="32" t="n">
        <v>61.88</v>
      </c>
      <c r="F15" s="32" t="n">
        <v>87.03</v>
      </c>
      <c r="G15" s="30" t="n">
        <v>0.288980811214524</v>
      </c>
      <c r="H15" s="28" t="n">
        <v>7.16464045986125</v>
      </c>
      <c r="I15" s="26" t="n">
        <v>27873.488896</v>
      </c>
    </row>
    <row r="16" customFormat="false" ht="15" hidden="false" customHeight="false" outlineLevel="0" collapsed="false">
      <c r="B16" s="23" t="s">
        <v>92</v>
      </c>
      <c r="C16" s="25" t="s">
        <v>90</v>
      </c>
      <c r="D16" s="25" t="s">
        <v>58</v>
      </c>
      <c r="E16" s="32" t="n">
        <v>7.28</v>
      </c>
      <c r="F16" s="32" t="n">
        <v>10.2</v>
      </c>
      <c r="G16" s="30" t="n">
        <v>0.286274509803921</v>
      </c>
      <c r="H16" s="28"/>
      <c r="I16" s="26" t="n">
        <v>14324.748947129</v>
      </c>
    </row>
    <row r="17" customFormat="false" ht="15" hidden="false" customHeight="false" outlineLevel="0" collapsed="false">
      <c r="B17" s="23" t="s">
        <v>69</v>
      </c>
      <c r="C17" s="25" t="s">
        <v>64</v>
      </c>
      <c r="D17" s="25" t="s">
        <v>68</v>
      </c>
      <c r="E17" s="32" t="n">
        <v>387.6</v>
      </c>
      <c r="F17" s="32" t="n">
        <v>542.8</v>
      </c>
      <c r="G17" s="30" t="n">
        <v>0.285924834193073</v>
      </c>
      <c r="H17" s="28" t="n">
        <v>26.028502277212</v>
      </c>
      <c r="I17" s="26" t="n">
        <v>7170.9416469439</v>
      </c>
    </row>
    <row r="18" customFormat="false" ht="15" hidden="false" customHeight="false" outlineLevel="0" collapsed="false">
      <c r="B18" s="23" t="s">
        <v>63</v>
      </c>
      <c r="C18" s="25" t="s">
        <v>64</v>
      </c>
      <c r="D18" s="25" t="s">
        <v>58</v>
      </c>
      <c r="E18" s="32" t="n">
        <v>732.4</v>
      </c>
      <c r="F18" s="32" t="n">
        <v>1020.5</v>
      </c>
      <c r="G18" s="30" t="n">
        <v>0.282312591866732</v>
      </c>
      <c r="H18" s="28"/>
      <c r="I18" s="26" t="n">
        <v>117756.728009391</v>
      </c>
    </row>
    <row r="19" customFormat="false" ht="15" hidden="false" customHeight="false" outlineLevel="0" collapsed="false">
      <c r="B19" s="23" t="s">
        <v>108</v>
      </c>
      <c r="C19" s="25" t="s">
        <v>90</v>
      </c>
      <c r="D19" s="25" t="s">
        <v>62</v>
      </c>
      <c r="E19" s="32" t="n">
        <v>2.39</v>
      </c>
      <c r="F19" s="32" t="n">
        <v>3.33</v>
      </c>
      <c r="G19" s="30" t="n">
        <v>0.282282282282282</v>
      </c>
      <c r="H19" s="28" t="n">
        <v>11.5527412532334</v>
      </c>
      <c r="I19" s="26" t="n">
        <v>1851.45204479664</v>
      </c>
    </row>
    <row r="20" customFormat="false" ht="15" hidden="false" customHeight="false" outlineLevel="0" collapsed="false">
      <c r="B20" s="23" t="s">
        <v>70</v>
      </c>
      <c r="C20" s="25" t="s">
        <v>64</v>
      </c>
      <c r="D20" s="25" t="s">
        <v>68</v>
      </c>
      <c r="E20" s="32" t="n">
        <v>1954.2</v>
      </c>
      <c r="F20" s="32" t="n">
        <v>2667.2</v>
      </c>
      <c r="G20" s="30" t="n">
        <v>0.267321535692861</v>
      </c>
      <c r="H20" s="28" t="n">
        <v>30.5529213486308</v>
      </c>
      <c r="I20" s="26" t="n">
        <v>47886.2290356154</v>
      </c>
    </row>
    <row r="22" customFormat="false" ht="43.5" hidden="false" customHeight="true" outlineLevel="0" collapsed="false">
      <c r="B22" s="17" t="s">
        <v>145</v>
      </c>
      <c r="C22" s="17"/>
      <c r="D22" s="17"/>
      <c r="E22" s="17"/>
      <c r="F22" s="17"/>
      <c r="G22" s="17"/>
      <c r="H22" s="17"/>
      <c r="I22" s="17"/>
    </row>
  </sheetData>
  <mergeCells count="1">
    <mergeCell ref="B22:I22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&amp;L&amp;"Arial,Bold"&amp;8DFM · ADX · Tadawul · NSE · US — Deal-Sourcing and Comps-Refresh Dashboard&amp;R&amp;"Arial,Regular"&amp;8Situational Screen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5" min="4" style="0" width="15"/>
    <col collapsed="false" customWidth="true" hidden="false" outlineLevel="0" max="6" min="6" style="0" width="70"/>
  </cols>
  <sheetData>
    <row r="1" customFormat="false" ht="30" hidden="false" customHeight="true" outlineLevel="0" collapsed="false">
      <c r="A1" s="1"/>
      <c r="B1" s="19" t="s">
        <v>36</v>
      </c>
      <c r="C1" s="1"/>
      <c r="D1" s="1"/>
      <c r="E1" s="1"/>
      <c r="F1" s="20" t="s">
        <v>37</v>
      </c>
    </row>
    <row r="2" customFormat="false" ht="18" hidden="false" customHeight="true" outlineLevel="0" collapsed="false">
      <c r="A2" s="1"/>
      <c r="B2" s="21" t="s">
        <v>146</v>
      </c>
      <c r="C2" s="1"/>
      <c r="D2" s="1"/>
      <c r="E2" s="1"/>
      <c r="F2" s="1"/>
    </row>
    <row r="4" customFormat="false" ht="15.75" hidden="false" customHeight="true" outlineLevel="0" collapsed="false">
      <c r="B4" s="22" t="s">
        <v>147</v>
      </c>
      <c r="C4" s="1"/>
      <c r="D4" s="1"/>
      <c r="E4" s="1"/>
      <c r="F4" s="1"/>
    </row>
    <row r="5" customFormat="false" ht="22.35" hidden="false" customHeight="false" outlineLevel="0" collapsed="false">
      <c r="B5" s="23" t="s">
        <v>102</v>
      </c>
      <c r="C5" s="18" t="s">
        <v>90</v>
      </c>
      <c r="F5" s="33" t="s">
        <v>103</v>
      </c>
    </row>
    <row r="6" customFormat="false" ht="22.35" hidden="false" customHeight="false" outlineLevel="0" collapsed="false">
      <c r="B6" s="23" t="s">
        <v>100</v>
      </c>
      <c r="C6" s="18" t="s">
        <v>90</v>
      </c>
      <c r="F6" s="33" t="s">
        <v>101</v>
      </c>
    </row>
    <row r="7" customFormat="false" ht="15" hidden="false" customHeight="false" outlineLevel="0" collapsed="false">
      <c r="B7" s="23" t="s">
        <v>98</v>
      </c>
      <c r="C7" s="18" t="s">
        <v>90</v>
      </c>
      <c r="F7" s="33" t="s">
        <v>148</v>
      </c>
    </row>
    <row r="8" customFormat="false" ht="15" hidden="false" customHeight="false" outlineLevel="0" collapsed="false">
      <c r="B8" s="23" t="s">
        <v>96</v>
      </c>
      <c r="C8" s="18" t="s">
        <v>90</v>
      </c>
      <c r="F8" s="33" t="s">
        <v>97</v>
      </c>
    </row>
    <row r="9" customFormat="false" ht="15" hidden="false" customHeight="false" outlineLevel="0" collapsed="false">
      <c r="B9" s="23" t="s">
        <v>105</v>
      </c>
      <c r="C9" s="18" t="s">
        <v>90</v>
      </c>
      <c r="F9" s="33" t="s">
        <v>148</v>
      </c>
    </row>
    <row r="10" customFormat="false" ht="15" hidden="false" customHeight="false" outlineLevel="0" collapsed="false">
      <c r="B10" s="23" t="s">
        <v>94</v>
      </c>
      <c r="C10" s="18" t="s">
        <v>90</v>
      </c>
      <c r="F10" s="33" t="s">
        <v>148</v>
      </c>
    </row>
    <row r="11" customFormat="false" ht="15" hidden="false" customHeight="false" outlineLevel="0" collapsed="false">
      <c r="B11" s="23" t="s">
        <v>89</v>
      </c>
      <c r="C11" s="18" t="s">
        <v>90</v>
      </c>
      <c r="F11" s="33" t="s">
        <v>148</v>
      </c>
    </row>
    <row r="12" customFormat="false" ht="22.35" hidden="false" customHeight="false" outlineLevel="0" collapsed="false">
      <c r="B12" s="23" t="s">
        <v>78</v>
      </c>
      <c r="C12" s="18" t="s">
        <v>64</v>
      </c>
      <c r="F12" s="33" t="s">
        <v>79</v>
      </c>
    </row>
    <row r="13" customFormat="false" ht="22.35" hidden="false" customHeight="false" outlineLevel="0" collapsed="false">
      <c r="B13" s="23" t="s">
        <v>75</v>
      </c>
      <c r="C13" s="18" t="s">
        <v>64</v>
      </c>
      <c r="F13" s="33" t="s">
        <v>77</v>
      </c>
    </row>
    <row r="14" customFormat="false" ht="15" hidden="false" customHeight="false" outlineLevel="0" collapsed="false">
      <c r="B14" s="23" t="s">
        <v>121</v>
      </c>
      <c r="C14" s="18" t="s">
        <v>110</v>
      </c>
      <c r="F14" s="33" t="s">
        <v>97</v>
      </c>
    </row>
    <row r="16" customFormat="false" ht="15" hidden="false" customHeight="false" outlineLevel="0" collapsed="false">
      <c r="B16" s="18" t="s">
        <v>20</v>
      </c>
      <c r="C16" s="34" t="n">
        <v>52</v>
      </c>
    </row>
    <row r="17" customFormat="false" ht="15" hidden="false" customHeight="false" outlineLevel="0" collapsed="false">
      <c r="B17" s="18" t="s">
        <v>149</v>
      </c>
      <c r="C17" s="34" t="n">
        <v>48</v>
      </c>
    </row>
    <row r="18" customFormat="false" ht="15" hidden="false" customHeight="false" outlineLevel="0" collapsed="false">
      <c r="B18" s="18" t="s">
        <v>150</v>
      </c>
      <c r="C18" s="34" t="n">
        <v>10</v>
      </c>
    </row>
    <row r="19" customFormat="false" ht="15" hidden="false" customHeight="false" outlineLevel="0" collapsed="false">
      <c r="B19" s="18" t="s">
        <v>151</v>
      </c>
      <c r="C19" s="34" t="n">
        <v>2</v>
      </c>
    </row>
    <row r="20" customFormat="false" ht="15" hidden="false" customHeight="false" outlineLevel="0" collapsed="false">
      <c r="B20" s="18" t="s">
        <v>152</v>
      </c>
      <c r="C20" s="34" t="n">
        <v>3</v>
      </c>
    </row>
    <row r="21" customFormat="false" ht="43.5" hidden="false" customHeight="true" outlineLevel="0" collapsed="false">
      <c r="B21" s="17" t="s">
        <v>153</v>
      </c>
      <c r="C21" s="17"/>
      <c r="D21" s="17"/>
      <c r="E21" s="17"/>
      <c r="F21" s="17"/>
    </row>
  </sheetData>
  <mergeCells count="1">
    <mergeCell ref="B21:F21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&amp;L&amp;"Arial,Bold"&amp;8DFM · ADX · Tadawul · NSE · US — Deal-Sourcing and Comps-Refresh Dashboard&amp;R&amp;"Arial,Regular"&amp;8Data Quality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0"/>
    <col collapsed="false" customWidth="true" hidden="false" outlineLevel="0" max="10" min="3" style="0" width="15"/>
  </cols>
  <sheetData>
    <row r="1" customFormat="false" ht="30" hidden="false" customHeight="true" outlineLevel="0" collapsed="false">
      <c r="A1" s="1"/>
      <c r="B1" s="19" t="s">
        <v>36</v>
      </c>
      <c r="C1" s="1"/>
      <c r="D1" s="1"/>
      <c r="E1" s="1"/>
      <c r="F1" s="1"/>
      <c r="G1" s="1"/>
      <c r="H1" s="1"/>
      <c r="I1" s="1"/>
      <c r="J1" s="20" t="s">
        <v>37</v>
      </c>
    </row>
    <row r="2" customFormat="false" ht="18" hidden="false" customHeight="true" outlineLevel="0" collapsed="false">
      <c r="A2" s="1"/>
      <c r="B2" s="21" t="s">
        <v>154</v>
      </c>
      <c r="C2" s="1"/>
      <c r="D2" s="1"/>
      <c r="E2" s="1"/>
      <c r="F2" s="1"/>
      <c r="G2" s="1"/>
      <c r="H2" s="1"/>
      <c r="I2" s="1"/>
      <c r="J2" s="1"/>
    </row>
  </sheetData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&amp;L&amp;"Arial,Bold"&amp;8DFM · ADX · Tadawul · NSE · US — Deal-Sourcing and Comps-Refresh Dashboard&amp;R&amp;"Arial,Regular"&amp;8Dashboard</oddHeader>
    <oddFooter>&amp;L&amp;"Arial,Regular"&amp;8Jainam Mehta · github.com/jainammehta1215/ib-portfolio&amp;C&amp;"Arial,Regular"&amp;8Blue = input · Black = formula · Green = link&amp;R&amp;"Arial,Regular"&amp;8Page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74"/>
    <col collapsed="false" customWidth="true" hidden="false" outlineLevel="0" max="5" min="3" style="0" width="16"/>
  </cols>
  <sheetData>
    <row r="1" customFormat="false" ht="30" hidden="false" customHeight="true" outlineLevel="0" collapsed="false">
      <c r="A1" s="1"/>
      <c r="B1" s="19" t="s">
        <v>36</v>
      </c>
      <c r="C1" s="1"/>
      <c r="D1" s="1"/>
      <c r="E1" s="20" t="s">
        <v>37</v>
      </c>
    </row>
    <row r="2" customFormat="false" ht="18" hidden="false" customHeight="true" outlineLevel="0" collapsed="false">
      <c r="A2" s="1"/>
      <c r="B2" s="21" t="s">
        <v>155</v>
      </c>
      <c r="C2" s="1"/>
      <c r="D2" s="1"/>
      <c r="E2" s="1"/>
    </row>
    <row r="4" customFormat="false" ht="15.75" hidden="false" customHeight="true" outlineLevel="0" collapsed="false">
      <c r="B4" s="22" t="s">
        <v>156</v>
      </c>
      <c r="C4" s="1"/>
      <c r="D4" s="1"/>
      <c r="E4" s="1"/>
    </row>
    <row r="5" customFormat="false" ht="15" hidden="false" customHeight="false" outlineLevel="0" collapsed="false">
      <c r="B5" s="18" t="s">
        <v>157</v>
      </c>
      <c r="C5" s="35" t="b">
        <f aca="false">TRUE()</f>
        <v>1</v>
      </c>
    </row>
    <row r="6" customFormat="false" ht="15" hidden="false" customHeight="false" outlineLevel="0" collapsed="false">
      <c r="B6" s="18" t="s">
        <v>158</v>
      </c>
      <c r="C6" s="35" t="b">
        <f aca="false">SUMPRODUCT(--(ISNUMBER(Comps!H6:H57)))&gt;0</f>
        <v>1</v>
      </c>
    </row>
    <row r="7" customFormat="false" ht="15" hidden="false" customHeight="false" outlineLevel="0" collapsed="false">
      <c r="B7" s="18" t="s">
        <v>159</v>
      </c>
      <c r="C7" s="35" t="b">
        <f aca="false">TRUE()</f>
        <v>1</v>
      </c>
    </row>
    <row r="8" customFormat="false" ht="15" hidden="false" customHeight="false" outlineLevel="0" collapsed="false">
      <c r="B8" s="18" t="s">
        <v>160</v>
      </c>
      <c r="C8" s="35" t="b">
        <f aca="false">TRUE()</f>
        <v>1</v>
      </c>
    </row>
    <row r="9" customFormat="false" ht="15" hidden="false" customHeight="false" outlineLevel="0" collapsed="false">
      <c r="B9" s="18" t="s">
        <v>161</v>
      </c>
      <c r="C9" s="35" t="b">
        <f aca="false">TRUE()</f>
        <v>1</v>
      </c>
    </row>
    <row r="10" customFormat="false" ht="15" hidden="false" customHeight="false" outlineLevel="0" collapsed="false">
      <c r="B10" s="18" t="s">
        <v>162</v>
      </c>
      <c r="C10" s="35" t="b">
        <f aca="false">TRUE()</f>
        <v>1</v>
      </c>
    </row>
    <row r="11" customFormat="false" ht="15" hidden="false" customHeight="false" outlineLevel="0" collapsed="false">
      <c r="B11" s="18" t="s">
        <v>163</v>
      </c>
      <c r="C11" s="35" t="b">
        <f aca="false">'Data Quality'!$C$17/'Data Quality'!$C$16&gt;=0.9</f>
        <v>1</v>
      </c>
    </row>
    <row r="12" customFormat="false" ht="15" hidden="false" customHeight="false" outlineLevel="0" collapsed="false">
      <c r="B12" s="18" t="s">
        <v>164</v>
      </c>
      <c r="C12" s="35" t="b">
        <f aca="false">AND(ISNUMBER(Comps!$C$60),ISNUMBER(Comps!$C$61),ISNUMBER(Comps!$C$62),ISNUMBER(Comps!$C$63),ISNUMBER(Comps!$C$64),ISNUMBER(Comps!$C$65),ISNUMBER(Comps!$C$66),ISNUMBER(Comps!$C$67),ISNUMBER(Comps!$C$68))</f>
        <v>1</v>
      </c>
    </row>
    <row r="13" customFormat="false" ht="15" hidden="false" customHeight="false" outlineLevel="0" collapsed="false">
      <c r="B13" s="18" t="s">
        <v>165</v>
      </c>
      <c r="C13" s="35" t="b">
        <f aca="false">TRUE()</f>
        <v>1</v>
      </c>
    </row>
    <row r="15" customFormat="false" ht="15" hidden="false" customHeight="false" outlineLevel="0" collapsed="false">
      <c r="B15" s="36" t="s">
        <v>166</v>
      </c>
      <c r="C15" s="37" t="str">
        <f aca="false">IF(COUNTIF(C5:C13,FALSE())=0,"MODEL OK","CHECK FAILED")</f>
        <v>MODEL OK</v>
      </c>
    </row>
    <row r="17" customFormat="false" ht="33.75" hidden="false" customHeight="true" outlineLevel="0" collapsed="false">
      <c r="B17" s="17" t="s">
        <v>167</v>
      </c>
      <c r="C17" s="17"/>
      <c r="D17" s="17"/>
      <c r="E17" s="17"/>
    </row>
  </sheetData>
  <mergeCells count="1">
    <mergeCell ref="B17:E17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&amp;L&amp;"Arial,Bold"&amp;8DFM · ADX · Tadawul · NSE · US — Deal-Sourcing and Comps-Refresh Dashboard&amp;R&amp;"Arial,Regular"&amp;8Checks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2026-09-18T09:05:20Z</dcterms:created>
  <dc:creator>openpyxl</dc:creator>
  <dc:description/>
  <dc:language>en-US</dc:language>
  <cp:lastModifiedBy/>
  <dcterms:modified xsi:type="dcterms:W3CDTF">2026-09-18T09:05:20Z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