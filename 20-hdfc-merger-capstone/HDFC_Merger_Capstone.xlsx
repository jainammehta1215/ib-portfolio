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Exchange Ratio" sheetId="3" state="visible" r:id="rId5"/>
    <sheet name="Accretion" sheetId="4" state="visible" r:id="rId6"/>
    <sheet name="Regulatory Drag" sheetId="5" state="visible" r:id="rId7"/>
    <sheet name="Post-Mortem" sheetId="6" state="visible" r:id="rId8"/>
    <sheet name="Summary" sheetId="7" state="visible" r:id="rId9"/>
    <sheet name="Checks" sheetId="8" state="visible" r:id="rId10"/>
  </sheets>
  <definedNames>
    <definedName function="false" hidden="false" localSheetId="3" name="_xlnm.Print_Area" vbProcedure="false">Accretion!$A$1:$F$25</definedName>
    <definedName function="false" hidden="false" localSheetId="7" name="_xlnm.Print_Area" vbProcedure="false">Checks!$A$1:$E$23</definedName>
    <definedName function="false" hidden="false" localSheetId="0" name="_xlnm.Print_Area" vbProcedure="false">Cover!$A$1:$F$45</definedName>
    <definedName function="false" hidden="false" localSheetId="2" name="_xlnm.Print_Area" vbProcedure="false">'Exchange Ratio'!$A$1:$G$22</definedName>
    <definedName function="false" hidden="false" localSheetId="1" name="_xlnm.Print_Area" vbProcedure="false">Inputs!$A$1:$G$41</definedName>
    <definedName function="false" hidden="false" localSheetId="5" name="_xlnm.Print_Area" vbProcedure="false">'Post-Mortem'!$A$1:$H$38</definedName>
    <definedName function="false" hidden="false" localSheetId="4" name="_xlnm.Print_Area" vbProcedure="false">'Regulatory Drag'!$A$1:$F$29</definedName>
    <definedName function="false" hidden="false" localSheetId="6" name="_xlnm.Print_Area" vbProcedure="false">Summary!$A$1:$F$25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<sst xmlns="http://schemas.openxmlformats.org/spreadsheetml/2006/main" count="254" uniqueCount="233">
  <si>
    <t xml:space="preserve">IB PORTFOLIO · PROJECT 20 OF 20</t>
  </si>
  <si>
    <t xml:space="preserve">HDFC Bank / HDFC Ltd</t>
  </si>
  <si>
    <t xml:space="preserve">Capstone: Live-Deal Replication and Post-Mortem</t>
  </si>
  <si>
    <t xml:space="preserve">NSE: HDFCBANK   ·   ₹ crore · per-share values in ₹ (pre-bonus basis)   ·   as of announcement 4 Apr 2022 · outcome to 18 Sep 2026</t>
  </si>
  <si>
    <t xml:space="preserve">What this is</t>
  </si>
  <si>
    <t xml:space="preserve">India's largest corporate transaction — HDFC Ltd folded into HDFC Bank at 42 shares for 25, announced 4 April 2022 and effective 1 July 2023 — replicated at announcement with the merger toolkit from Project 6 and the bank-valuation frame from Project 11, then judged against three years of reported results and the share price relative to Nifty Bank.</t>
  </si>
  <si>
    <t xml:space="preserve">How it is built</t>
  </si>
  <si>
    <t xml:space="preserve">•  Contribution analysis on profit, net worth, loans and market value, with HDFC Ltd's 21% stake in the bank cancelled; the implied ratio on each measure against the agreed 1.68x; premium, new shares, post-merger ownership.</t>
  </si>
  <si>
    <t xml:space="preserve">•  Pro forma FY2022 EPS, book value and ROE, before and after the regulatory drag of CRR, SLR and priority-sector lending on a bond-funded mortgage book, net of the deposit-funding saving as it arrives.</t>
  </si>
  <si>
    <t xml:space="preserve">•  Post-mortem: reported FY2023–FY2026 profit, net worth, EPS, book value and ROE against the announcement case; total shareholder return against Nifty Bank; the de-rating of price-to-book against the multiple today's ROE justifies.</t>
  </si>
  <si>
    <t xml:space="preserve">Contents</t>
  </si>
  <si>
    <t xml:space="preserve">Summary  —  at announcement; three years on</t>
  </si>
  <si>
    <t xml:space="preserve">Exchange Ratio  —  contribution analysis; the agreed ratio against the implied ones</t>
  </si>
  <si>
    <t xml:space="preserve">Accretion  —  pro forma EPS, book, ROE; value at announcement</t>
  </si>
  <si>
    <t xml:space="preserve">Regulatory Drag  —  CRR, SLR, priority sector, funding saving</t>
  </si>
  <si>
    <t xml:space="preserve">Post-Mortem  —  reported results; price against the index; the de-rating</t>
  </si>
  <si>
    <t xml:space="preserve">Inputs  —  terms, market data, FY2022 accounts, regulatory parameters</t>
  </si>
  <si>
    <t xml:space="preserve">Checks  —  fifteen tests; must read MODEL OK</t>
  </si>
  <si>
    <t xml:space="preserve">Key outputs (live)</t>
  </si>
  <si>
    <t xml:space="preserve">Exchange ratio</t>
  </si>
  <si>
    <t xml:space="preserve">HDFC Ltd holders' ownership</t>
  </si>
  <si>
    <t xml:space="preserve">EPS accretion after the drag</t>
  </si>
  <si>
    <t xml:space="preserve">ROE: standalone → FY2026 reported</t>
  </si>
  <si>
    <t xml:space="preserve">TSR since announcement vs Nifty Bank</t>
  </si>
  <si>
    <t xml:space="preserve">P/B: 2022 → today</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</si>
  <si>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</si>
  <si>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</si>
  <si>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</si>
  <si>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</si>
  <si>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</si>
  <si>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</si>
  <si>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Merger announcement and investor presentation of 4 April 2022; FY2022 standalone accounts of HDFC Bank and HDFC Ltd as reported; HDFC Bank reported results FY2023–FY2026 (FY2026 net worth derived as stated).</t>
  </si>
  <si>
    <t xml:space="preserve">NSE closing prices and Nifty Bank levels via public market data; HDFC Bank per-share figures restated to the pre-bonus basis after the August 2025 1:1 bonus.</t>
  </si>
  <si>
    <t xml:space="preserve">Regulatory parameters as in force in 2022; yield gaps, funding costs and the refinancing share are stated inputs. Nothing here is a recommendation.</t>
  </si>
  <si>
    <t xml:space="preserve">Prepared by</t>
  </si>
  <si>
    <t xml:space="preserve">Jainam Mehta · github.com/jainammehta1215/ib-portfolio</t>
  </si>
  <si>
    <t xml:space="preserve">HDFC Bank / HDFC Ltd — Capstone: Live-Deal Replication and Post-Mortem</t>
  </si>
  <si>
    <t xml:space="preserve">HDFC BANK</t>
  </si>
  <si>
    <t xml:space="preserve">The two companies on the eve of the announcement, and the terms</t>
  </si>
  <si>
    <t xml:space="preserve">TERMS ANNOUNCED 4 APRIL 2022</t>
  </si>
  <si>
    <t xml:space="preserve">HDFC Bank shares issued</t>
  </si>
  <si>
    <t xml:space="preserve">  for every HDFC Ltd shares</t>
  </si>
  <si>
    <t xml:space="preserve">Exchange ratio (HDFC Bank shares per HDFC Ltd share)</t>
  </si>
  <si>
    <t xml:space="preserve">HDFC Ltd's shareholding in HDFC Bank, cancelled on merger</t>
  </si>
  <si>
    <t xml:space="preserve">Carrying value of that stake in HDFC Ltd's standalone books (₹ crore, stated)</t>
  </si>
  <si>
    <t xml:space="preserve">Held at cost since the 1990s; a small fraction of its ₹1.75 lakh crore market value</t>
  </si>
  <si>
    <t xml:space="preserve">HDFC Bank dividend per share for FY2022 (₹)</t>
  </si>
  <si>
    <t xml:space="preserve">Effective date</t>
  </si>
  <si>
    <t xml:space="preserve">1 July 2023</t>
  </si>
  <si>
    <t xml:space="preserve">MARKET, CLOSE OF 1 APRIL 2022 (last day before the announcement)</t>
  </si>
  <si>
    <t xml:space="preserve">HDFC Bank</t>
  </si>
  <si>
    <t xml:space="preserve">HDFC Ltd</t>
  </si>
  <si>
    <t xml:space="preserve">Share price (₹)</t>
  </si>
  <si>
    <t xml:space="preserve">Shares outstanding (crore)</t>
  </si>
  <si>
    <t xml:space="preserve">Market capitalisation (₹ crore)</t>
  </si>
  <si>
    <t xml:space="preserve">Share price at close on 4 April 2022 (announcement day)</t>
  </si>
  <si>
    <t xml:space="preserve">Both rose about 10% on the day; the market's first verdict was positive</t>
  </si>
  <si>
    <t xml:space="preserve">FY2022 FINANCIALS, STANDALONE, YEAR TO 31 MARCH 2022 (as reported)</t>
  </si>
  <si>
    <t xml:space="preserve">Net profit</t>
  </si>
  <si>
    <t xml:space="preserve">Net worth</t>
  </si>
  <si>
    <t xml:space="preserve">Advances / loan book</t>
  </si>
  <si>
    <t xml:space="preserve">Deposits</t>
  </si>
  <si>
    <t xml:space="preserve">Borrowings (HDFC Ltd: non-deposit funding)</t>
  </si>
  <si>
    <t xml:space="preserve">Earnings per share (₹)</t>
  </si>
  <si>
    <t xml:space="preserve">Book value per share (₹)</t>
  </si>
  <si>
    <t xml:space="preserve">Return on closing equity</t>
  </si>
  <si>
    <t xml:space="preserve">Price / book</t>
  </si>
  <si>
    <t xml:space="preserve">Price / earnings</t>
  </si>
  <si>
    <t xml:space="preserve">REGULATORY PARAMETERS (RBI, 2022)</t>
  </si>
  <si>
    <t xml:space="preserve">Cash reserve ratio</t>
  </si>
  <si>
    <t xml:space="preserve">Statutory liquidity ratio</t>
  </si>
  <si>
    <t xml:space="preserve">Priority-sector lending requirement (share of adjusted net bank credit)</t>
  </si>
  <si>
    <t xml:space="preserve">Mortgage lending yield forgone on cash reserves (stated)</t>
  </si>
  <si>
    <t xml:space="preserve">CRR earns nothing</t>
  </si>
  <si>
    <t xml:space="preserve">Yield gap between mortgages and government securities held for SLR (stated)</t>
  </si>
  <si>
    <t xml:space="preserve">Share of HDFC Ltd's book not already qualifying as priority-sector (stated)</t>
  </si>
  <si>
    <t xml:space="preserve">Affordable-housing loans under the RBI limits already qualify</t>
  </si>
  <si>
    <t xml:space="preserve">Cost of meeting the shortfall through priority-sector certificates and RIDF deposits (stated)</t>
  </si>
  <si>
    <t xml:space="preserve">Tax rate</t>
  </si>
  <si>
    <t xml:space="preserve">Years of RBI glide path granted for CRR/SLR/PSL on HDFC Ltd's book</t>
  </si>
  <si>
    <t xml:space="preserve">RBI allowed a phased approach on part of the requirement; the model applies the full drag from year one for conservatism, then phases it in the Post-Mortem comparison</t>
  </si>
  <si>
    <t xml:space="preserve">What each company brought, and the ratio each measure implies</t>
  </si>
  <si>
    <t xml:space="preserve">CONTRIBUTION ANALYSIS</t>
  </si>
  <si>
    <t xml:space="preserve">HDFC Ltd share</t>
  </si>
  <si>
    <t xml:space="preserve">Implied ratio</t>
  </si>
  <si>
    <t xml:space="preserve">Loan book</t>
  </si>
  <si>
    <t xml:space="preserve">Market capitalisation (HDFC Ltd's already includes its bank stake)</t>
  </si>
  <si>
    <t xml:space="preserve">The implied ratio asks: if HDFC Ltd shareholders should own the share of the combined bank that they contribute on each measure, how many HDFC Bank shares does each HDFC Ltd share deserve? Their contribution is looked through: HDFC Ltd's own figure plus 21% of the bank's, because that 21% was theirs before the deal. Market capitalisation already embeds the stake.</t>
  </si>
  <si>
    <t xml:space="preserve">THE AGREED RATIO AGAINST THE IMPLIED ONES</t>
  </si>
  <si>
    <t xml:space="preserve">Agreed ratio</t>
  </si>
  <si>
    <t xml:space="preserve">Value of one HDFC Ltd share at the ratio (₹, on the 1 April HDFC Bank price)</t>
  </si>
  <si>
    <t xml:space="preserve">Premium to HDFC Ltd's 1 April close</t>
  </si>
  <si>
    <t xml:space="preserve">Presented as a merger of equals; the premium was small</t>
  </si>
  <si>
    <t xml:space="preserve">Premium on HDFC Ltd ex the value of its stake in the bank</t>
  </si>
  <si>
    <t xml:space="preserve">What the bank paid for the mortgage business itself, after netting off its own shares coming back</t>
  </si>
  <si>
    <t xml:space="preserve">New HDFC Bank shares issued (crore)</t>
  </si>
  <si>
    <t xml:space="preserve">HDFC Bank shares cancelled (HDFC Ltd's stake, crore)</t>
  </si>
  <si>
    <t xml:space="preserve">Post-merger shares outstanding (crore)</t>
  </si>
  <si>
    <t xml:space="preserve">HDFC Ltd shareholders' ownership of the combined bank</t>
  </si>
  <si>
    <t xml:space="preserve">Announced as 41%</t>
  </si>
  <si>
    <t xml:space="preserve">Ownership given versus net-profit contribution (percentage points)</t>
  </si>
  <si>
    <t xml:space="preserve">Ownership given versus net-worth contribution</t>
  </si>
  <si>
    <t xml:space="preserve">Pro forma FY2022 as if merged: EPS, book value, return on equity</t>
  </si>
  <si>
    <t xml:space="preserve">PRO FORMA BEFORE REGULATORY COSTS</t>
  </si>
  <si>
    <t xml:space="preserve">Combined net profit (HDFC Ltd's dividend from the bank eliminated)</t>
  </si>
  <si>
    <t xml:space="preserve">HDFC Ltd's income included the dividend on its bank stake; removed to avoid double counting</t>
  </si>
  <si>
    <t xml:space="preserve">Pro forma EPS (₹)</t>
  </si>
  <si>
    <t xml:space="preserve">EPS accretion / (dilution) to HDFC Bank shareholders</t>
  </si>
  <si>
    <t xml:space="preserve">Combined net worth (HDFC Ltd's investment in the bank eliminated at its carrying value)</t>
  </si>
  <si>
    <t xml:space="preserve">Pooling basis, as the announcement presented it; acquisition accounting would restate HDFC Ltd's assets to fair value</t>
  </si>
  <si>
    <t xml:space="preserve">Pro forma book value per share (₹)</t>
  </si>
  <si>
    <t xml:space="preserve">Book value accretion / (dilution)</t>
  </si>
  <si>
    <t xml:space="preserve">Pro forma return on closing equity</t>
  </si>
  <si>
    <t xml:space="preserve">  change from HDFC Bank standalone (percentage points)</t>
  </si>
  <si>
    <t xml:space="preserve">PRO FORMA AFTER THE REGULATORY DRAG (from the Regulatory Drag sheet, full drag from year one)</t>
  </si>
  <si>
    <t xml:space="preserve">Combined net profit after the drag</t>
  </si>
  <si>
    <t xml:space="preserve">Pro forma EPS after the drag (₹)</t>
  </si>
  <si>
    <t xml:space="preserve">EPS accretion / (dilution) after the drag</t>
  </si>
  <si>
    <t xml:space="preserve">Pro forma return on equity after the drag</t>
  </si>
  <si>
    <t xml:space="preserve">VALUE AT ANNOUNCEMENT</t>
  </si>
  <si>
    <t xml:space="preserve">Combined market value at 1 April prices (₹ crore)</t>
  </si>
  <si>
    <t xml:space="preserve">  as a multiple of pro forma book</t>
  </si>
  <si>
    <t xml:space="preserve">HDFC Bank standalone price / book before the deal</t>
  </si>
  <si>
    <t xml:space="preserve">Multiple the market would need to hold for HDFC Bank holders to be no worse off</t>
  </si>
  <si>
    <t xml:space="preserve">Book-value accretion means a lower P/B keeps the price whole; the question is whether a lower-ROE bank deserves it</t>
  </si>
  <si>
    <t xml:space="preserve">The arithmetic at announcement was benign: EPS roughly neutral before regulatory costs, meaningful book-value accretion, a lower return on equity. The bank was buying a lower-return business with its own high-multiple paper, which is accretive to book and dilutive to ROE by construction. Whether that creates value depends entirely on the multiple the market attaches to the lower ROE.</t>
  </si>
  <si>
    <t xml:space="preserve">What happens when a mortgage lender's balance sheet becomes a bank's</t>
  </si>
  <si>
    <t xml:space="preserve">RESERVE REQUIREMENTS ON HDFC LTD'S LIABILITIES</t>
  </si>
  <si>
    <t xml:space="preserve">HDFC Ltd liabilities that become bank liabilities subject to CRR and SLR (deposits plus borrowings)</t>
  </si>
  <si>
    <t xml:space="preserve">Cash reserve to hold (earning nothing)</t>
  </si>
  <si>
    <t xml:space="preserve">Government securities to hold</t>
  </si>
  <si>
    <t xml:space="preserve">Total low-yield assets required</t>
  </si>
  <si>
    <t xml:space="preserve">  as % of HDFC Ltd's loan book</t>
  </si>
  <si>
    <t xml:space="preserve">Pre-tax income forgone: CRR at the full mortgage yield, SLR at the yield gap</t>
  </si>
  <si>
    <t xml:space="preserve">CRR forgoes the whole lending yield; SLR forgoes only the spread over government bonds</t>
  </si>
  <si>
    <t xml:space="preserve">PRIORITY-SECTOR LENDING ON HDFC LTD'S BOOK</t>
  </si>
  <si>
    <t xml:space="preserve">Priority-sector assets required on the acquired loan book</t>
  </si>
  <si>
    <t xml:space="preserve">  of which a shortfall to be met through certificates and RIDF</t>
  </si>
  <si>
    <t xml:space="preserve">Pre-tax cost of meeting the shortfall</t>
  </si>
  <si>
    <t xml:space="preserve">FUNDING COST: REPLACING BONDS WITH DEPOSITS</t>
  </si>
  <si>
    <t xml:space="preserve">HDFC Ltd's average cost of borrowings (stated)</t>
  </si>
  <si>
    <t xml:space="preserve">HDFC Bank's average cost of deposits (stated)</t>
  </si>
  <si>
    <t xml:space="preserve">Share of HDFC Ltd's borrowings refinanced with deposits over the glide path</t>
  </si>
  <si>
    <t xml:space="preserve">Pre-tax saving once refinanced</t>
  </si>
  <si>
    <t xml:space="preserve">The strategic case for the deal: a bank funds mortgages more cheaply than a bond-funded lender. It arrives only as deposits are gathered</t>
  </si>
  <si>
    <t xml:space="preserve">NET DRAG</t>
  </si>
  <si>
    <t xml:space="preserve">Pre-tax drag: reserves plus priority-sector</t>
  </si>
  <si>
    <t xml:space="preserve">Net pre-tax effect after the funding saving</t>
  </si>
  <si>
    <t xml:space="preserve">Net after-tax effect</t>
  </si>
  <si>
    <t xml:space="preserve">After-tax drag in year one, before any refinancing benefit</t>
  </si>
  <si>
    <t xml:space="preserve">  as % of HDFC Ltd's FY2022 net profit</t>
  </si>
  <si>
    <t xml:space="preserve">This sheet is the deal in one line: the bank takes a drag of roughly a fifth of HDFC Ltd's profit on day one, and earns it back only as it replaces ₹4.6 lakh crore of bonds with deposits. The RBI granted a glide path on part of the requirement, which spreads the drag; it does not remove it. Deposit growth, not the exchange ratio, was always the variable that decided the outcome.</t>
  </si>
  <si>
    <t xml:space="preserve">What actually happened: FY2023 (last pre-merger year) to FY2026, and the share price against Nifty Bank</t>
  </si>
  <si>
    <t xml:space="preserve">REPORTED RESULTS (standalone; per-share on the pre-bonus basis)</t>
  </si>
  <si>
    <t xml:space="preserve">FY2023A</t>
  </si>
  <si>
    <t xml:space="preserve">FY2024A</t>
  </si>
  <si>
    <t xml:space="preserve">FY2025A</t>
  </si>
  <si>
    <t xml:space="preserve">FY2026A</t>
  </si>
  <si>
    <t xml:space="preserve">FY2024 onward includes HDFC Ltd from 1 July 2023</t>
  </si>
  <si>
    <t xml:space="preserve">FY2026 net worth is derived: prior year plus profit less dividends; the others are reported</t>
  </si>
  <si>
    <t xml:space="preserve">Shares outstanding (crore, pre-bonus)</t>
  </si>
  <si>
    <t xml:space="preserve">EPS (₹)</t>
  </si>
  <si>
    <t xml:space="preserve">Dividend per share (₹)</t>
  </si>
  <si>
    <t xml:space="preserve">EPS growth</t>
  </si>
  <si>
    <t xml:space="preserve">ANNOUNCEMENT CASE AGAINST OUTCOME</t>
  </si>
  <si>
    <t xml:space="preserve">Pro forma ROE at announcement, after the full regulatory drag</t>
  </si>
  <si>
    <t xml:space="preserve">Reported ROE, FY2026</t>
  </si>
  <si>
    <t xml:space="preserve">HDFC Bank ROE in its last standalone year, FY2023</t>
  </si>
  <si>
    <t xml:space="preserve">ROE given up against the standalone bank (percentage points)</t>
  </si>
  <si>
    <t xml:space="preserve">EPS growth FY2023–FY2026, compound</t>
  </si>
  <si>
    <t xml:space="preserve">Book value per share growth FY2023–FY2026, compound</t>
  </si>
  <si>
    <t xml:space="preserve">THE SHARE PRICE (pre-bonus basis; the August 2025 1:1 bonus is reversed)</t>
  </si>
  <si>
    <t xml:space="preserve">Date</t>
  </si>
  <si>
    <t xml:space="preserve">1 Apr 2022</t>
  </si>
  <si>
    <t xml:space="preserve">4 Apr 2022</t>
  </si>
  <si>
    <t xml:space="preserve">30 Jun 2023</t>
  </si>
  <si>
    <t xml:space="preserve">18 Sep 2026</t>
  </si>
  <si>
    <t xml:space="preserve">HDFC Bank (₹)</t>
  </si>
  <si>
    <t xml:space="preserve">Nifty Bank index</t>
  </si>
  <si>
    <t xml:space="preserve">4 April and 30 June levels are approximate; the endpoints are exact</t>
  </si>
  <si>
    <t xml:space="preserve">HDFC Bank price return, 1 April 2022 to 18 September 2026</t>
  </si>
  <si>
    <t xml:space="preserve">Dividends received per pre-bonus share over the period (₹)</t>
  </si>
  <si>
    <t xml:space="preserve">FY2022 dividend of ₹15.50 paid after April 2022 is included</t>
  </si>
  <si>
    <t xml:space="preserve">HDFC Bank total shareholder return</t>
  </si>
  <si>
    <t xml:space="preserve">Nifty Bank price return over the same period</t>
  </si>
  <si>
    <t xml:space="preserve">Relative performance against Nifty Bank (price basis)</t>
  </si>
  <si>
    <t xml:space="preserve">Price / book today on FY2026 book</t>
  </si>
  <si>
    <t xml:space="preserve">Price / book on 1 April 2022 (standalone)</t>
  </si>
  <si>
    <t xml:space="preserve">De-rating of the multiple</t>
  </si>
  <si>
    <t xml:space="preserve">ROE on average equity, FY2026</t>
  </si>
  <si>
    <t xml:space="preserve">Cost of equity the price implies at 7% long-run growth: g + (ROE − g) / (P/B)</t>
  </si>
  <si>
    <t xml:space="preserve">Project 11's frame in reverse. The market prices India's largest private bank at a cost of equity near 10%; the de-rating is the lower ROE at an unchanged discount rate</t>
  </si>
  <si>
    <t xml:space="preserve">For comparison: cost of equity the 2022 price implied at the standalone ROE</t>
  </si>
  <si>
    <t xml:space="preserve">Book value per share compounded at double digits and EPS grew, exactly as the accretion arithmetic said they would. Return on equity fell by about three points, exactly as the arithmetic said it would. The share price has gone nowhere in four and a half years while the bank index rose by half: the market applied the multiple a 13% ROE deserves to a book that had become larger and lower-yielding. The deal was accretive to everything except the thing the price is set on.</t>
  </si>
  <si>
    <t xml:space="preserve">The merger at announcement and three years on</t>
  </si>
  <si>
    <t xml:space="preserve">AT ANNOUNCEMENT, 4 APRIL 2022</t>
  </si>
  <si>
    <t xml:space="preserve">Exchange ratio · premium to HDFC Ltd's close</t>
  </si>
  <si>
    <t xml:space="preserve">  versus their contribution of net profit / net worth</t>
  </si>
  <si>
    <t xml:space="preserve">Pro forma EPS accretion before / after the regulatory drag</t>
  </si>
  <si>
    <t xml:space="preserve">Pro forma book value accretion</t>
  </si>
  <si>
    <t xml:space="preserve">ROE: standalone bank → pro forma after the drag</t>
  </si>
  <si>
    <t xml:space="preserve">Low-yield assets required by CRR and SLR on HDFC Ltd's liabilities (₹ crore)</t>
  </si>
  <si>
    <t xml:space="preserve">After-tax drag in year one as % of HDFC Ltd's profit</t>
  </si>
  <si>
    <t xml:space="preserve">THREE YEARS ON</t>
  </si>
  <si>
    <t xml:space="preserve">Reported ROE FY2026 · ROE given up against standalone FY2023</t>
  </si>
  <si>
    <t xml:space="preserve">EPS and book value per share growth FY2023–FY2026, compound</t>
  </si>
  <si>
    <t xml:space="preserve">HDFC Bank total shareholder return since the day before the announcement</t>
  </si>
  <si>
    <t xml:space="preserve">Nifty Bank over the same period</t>
  </si>
  <si>
    <t xml:space="preserve">Relative performance</t>
  </si>
  <si>
    <t xml:space="preserve">Price / book: 1 April 2022 → today</t>
  </si>
  <si>
    <t xml:space="preserve">•  The ratio was set on market value, and it favoured the bank. On a look-through basis — counting the 21% of the bank that HDFC Ltd's shareholders already owned — they contributed 42% of the profit and 47% of the net worth and received 41% of the shares, which is what 40% of the combined market value implied. The bank's 3.5x book against the lender's 2x did the work; the 3% premium was the price of a deal presented as a merger of equals.</t>
  </si>
  <si>
    <t xml:space="preserve">•  The accretion arithmetic was right, and it was the wrong question. EPS and book value per share both grew as forecast. What the pro forma also said — and what the pitch would have put on a back page — was that return on equity would fall by three points as ₹1.4 lakh crore of reserves and priority-sector assets were bolted on to a book funded with bonds.</t>
  </si>
  <si>
    <t xml:space="preserve">•  The market did exactly what Project 11 says it should. A bank's price is book value times a multiple set by ROE against the cost of equity. The bank's book grew and its ROE fell; the multiple de-rated from about 3.5x to about 2x; the price went nowhere while Nifty Bank rose by half. The cost of equity the price implies is almost unchanged from 2022: the market re-priced the ROE, not the franchise. There is no mystery to explain.</t>
  </si>
  <si>
    <t xml:space="preserve">•  The thesis is not dead, it is slow. The saving from replacing HDFC Ltd's bonds with deposits is real and larger than the regulatory drag — but it arrives at the pace of deposit growth, and a bank that had to slow loan growth to fix its loan-to-deposit ratio cannot gather deposits faster than the system. The deal will be judged on ROE in FY2028, not FY2026.</t>
  </si>
  <si>
    <t xml:space="preserve">Every check must read TRUE</t>
  </si>
  <si>
    <t xml:space="preserve">INTEGRITY CHECKS</t>
  </si>
  <si>
    <t xml:space="preserve">Exchange ratio equals 42 / 25</t>
  </si>
  <si>
    <t xml:space="preserve">HDFC Ltd shareholders' ownership reproduces the announced 41% within one point</t>
  </si>
  <si>
    <t xml:space="preserve">Contribution shares lie between 0% and 100%</t>
  </si>
  <si>
    <t xml:space="preserve">Implied ratio from market capitalisation is close to the agreed ratio (within 15%)</t>
  </si>
  <si>
    <t xml:space="preserve">Ownership given is below the look-through profit and net-worth contributions and within 2 points of the market-value contribution (the ratio was set on price)</t>
  </si>
  <si>
    <t xml:space="preserve">Pro forma ROE is below HDFC Bank's standalone ROE (lower-return business acquired)</t>
  </si>
  <si>
    <t xml:space="preserve">Book value accretion is positive and the EPS effect before the drag is within 3% of neutral, as announced</t>
  </si>
  <si>
    <t xml:space="preserve">Regulatory drag in year one is between 10% and 40% of HDFC Ltd's profit</t>
  </si>
  <si>
    <t xml:space="preserve">Funding saving once refinanced exceeds the gross regulatory drag (the strategic case holds in steady state)</t>
  </si>
  <si>
    <t xml:space="preserve">Accretion sheet's post-drag rows tie to the Regulatory Drag sheet</t>
  </si>
  <si>
    <t xml:space="preserve">Post-merger share count FY2024 is within 3% of the model's post-merger count</t>
  </si>
  <si>
    <t xml:space="preserve">Reported ROE fell from FY2023 to FY2026</t>
  </si>
  <si>
    <t xml:space="preserve">HDFC Bank underperformed Nifty Bank over the period</t>
  </si>
  <si>
    <t xml:space="preserve">Book value per share grew every year</t>
  </si>
  <si>
    <t xml:space="preserve">Cost of equity the price implies today lies between 9% and 13%, and is close to what the 2022 price implied</t>
  </si>
  <si>
    <t xml:space="preserve">MODEL STATUS</t>
  </si>
  <si>
    <t xml:space="preserve">The second and eleventh checks tie the model to the announcement (41% ownership) and to the reported post-merger share count; the last three test the post-mortem's claims against the reported numbers rather than against the narrative.</t>
  </si>
</sst>
</file>

<file path=xl/styles.xml><?xml version="1.0" encoding="utf-8"?>
<styleSheet xmlns="http://schemas.openxmlformats.org/spreadsheetml/2006/main">
  <numFmts count="8">
    <numFmt numFmtId="164" formatCode="General"/>
    <numFmt numFmtId="165" formatCode="#,##0.00;\(#,##0.00\);\-"/>
    <numFmt numFmtId="166" formatCode="0.0%;\(0.0%\);\-"/>
    <numFmt numFmtId="167" formatCode="@"/>
    <numFmt numFmtId="168" formatCode="0"/>
    <numFmt numFmtId="169" formatCode="#,##0;\(#,##0\);\-"/>
    <numFmt numFmtId="170" formatCode="0.0\x"/>
    <numFmt numFmtId="171" formatCode="General"/>
  </numFmts>
  <fonts count="21">
    <font>
      <sz val="11"/>
      <color theme="1"/>
      <name val="Calibri"/>
      <family val="2"/>
      <charset val="1"/>
    </font>
    <font>
      <sz val="10"/>
      <name val="Arial"/>
      <family val="0"/>
    </font>
    <font>
      <sz val="10"/>
      <name val="Arial"/>
      <family val="0"/>
    </font>
    <font>
      <sz val="10"/>
      <name val="Arial"/>
      <family val="0"/>
    </font>
    <font>
      <b val="true"/>
      <sz val="9"/>
      <color rgb="FFED232A"/>
      <name val="Arial"/>
      <family val="0"/>
      <charset val="1"/>
    </font>
    <font>
      <b val="true"/>
      <sz val="24"/>
      <color rgb="FF004C8F"/>
      <name val="Arial"/>
      <family val="0"/>
      <charset val="1"/>
    </font>
    <font>
      <sz val="15"/>
      <color rgb="FF5C6F86"/>
      <name val="Arial"/>
      <family val="0"/>
      <charset val="1"/>
    </font>
    <font>
      <i val="true"/>
      <sz val="9"/>
      <color rgb="FF7F7F7F"/>
      <name val="Arial"/>
      <family val="0"/>
      <charset val="1"/>
    </font>
    <font>
      <b val="true"/>
      <sz val="10"/>
      <color rgb="FF004C8F"/>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FFFFFF"/>
      <name val="Arial"/>
      <family val="0"/>
      <charset val="1"/>
    </font>
    <font>
      <b val="true"/>
      <sz val="10"/>
      <name val="Arial"/>
      <family val="0"/>
      <charset val="1"/>
    </font>
    <font>
      <b val="true"/>
      <sz val="12"/>
      <color rgb="FF004C8F"/>
      <name val="Arial"/>
      <family val="0"/>
      <charset val="1"/>
    </font>
    <font>
      <b val="true"/>
      <sz val="12"/>
      <name val="Arial"/>
      <family val="0"/>
      <charset val="1"/>
    </font>
  </fonts>
  <fills count="6">
    <fill>
      <patternFill patternType="none"/>
    </fill>
    <fill>
      <patternFill patternType="gray125"/>
    </fill>
    <fill>
      <patternFill patternType="solid">
        <fgColor rgb="FF004C8F"/>
        <bgColor rgb="FF0066CC"/>
      </patternFill>
    </fill>
    <fill>
      <patternFill patternType="solid">
        <fgColor rgb="FFED232A"/>
        <bgColor rgb="FF993300"/>
      </patternFill>
    </fill>
    <fill>
      <patternFill patternType="solid">
        <fgColor rgb="FFE9F0F7"/>
        <bgColor rgb="FFFFFFFF"/>
      </patternFill>
    </fill>
    <fill>
      <patternFill patternType="solid">
        <fgColor rgb="FF5C6F86"/>
        <bgColor rgb="FF7F7F7F"/>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7"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center"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6" fontId="13" fillId="0" borderId="2" xfId="0" applyFont="true" applyBorder="true" applyAlignment="false" applyProtection="false">
      <alignment horizontal="general" vertical="bottom" textRotation="0" wrapText="false" indent="0" shrinkToFit="false"/>
      <protection locked="true" hidden="false"/>
    </xf>
    <xf numFmtId="166" fontId="12" fillId="0" borderId="2" xfId="0" applyFont="true" applyBorder="tru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69" fontId="13" fillId="0" borderId="2" xfId="0" applyFont="true" applyBorder="tru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2" xfId="0" applyFont="true" applyBorder="true" applyAlignment="false" applyProtection="false">
      <alignment horizontal="general" vertical="bottom" textRotation="0" wrapText="false" indent="0" shrinkToFit="false"/>
      <protection locked="true" hidden="false"/>
    </xf>
    <xf numFmtId="171" fontId="13"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ED232A"/>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E9F0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C6F86"/>
      <rgbColor rgb="FF969696"/>
      <rgbColor rgb="FF004C8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DFC_Merger_Capstone.xlsx" TargetMode="External"/><Relationship Id="rId2" Type="http://schemas.openxmlformats.org/officeDocument/2006/relationships/hyperlink" Target="HDFC_Merger_Capstone.xlsx" TargetMode="External"/><Relationship Id="rId3" Type="http://schemas.openxmlformats.org/officeDocument/2006/relationships/hyperlink" Target="HDFC_Merger_Capstone.xlsx" TargetMode="External"/><Relationship Id="rId4" Type="http://schemas.openxmlformats.org/officeDocument/2006/relationships/hyperlink" Target="HDFC_Merger_Capstone.xlsx" TargetMode="External"/><Relationship Id="rId5" Type="http://schemas.openxmlformats.org/officeDocument/2006/relationships/hyperlink" Target="HDFC_Merger_Capstone.xlsx" TargetMode="External"/><Relationship Id="rId6" Type="http://schemas.openxmlformats.org/officeDocument/2006/relationships/hyperlink" Target="HDFC_Merger_Capstone.xlsx" TargetMode="External"/><Relationship Id="rId7" Type="http://schemas.openxmlformats.org/officeDocument/2006/relationships/hyperlink" Target="HDFC_Merger_Capstone.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60" hidden="false" customHeight="true" outlineLevel="0" collapsed="false">
      <c r="A9" s="1"/>
      <c r="B9" s="7" t="s">
        <v>4</v>
      </c>
      <c r="C9" s="8" t="s">
        <v>5</v>
      </c>
      <c r="D9" s="8"/>
      <c r="E9" s="8"/>
      <c r="F9" s="8"/>
    </row>
    <row r="10" customFormat="false" ht="15" hidden="false" customHeight="false" outlineLevel="0" collapsed="false">
      <c r="A10" s="1"/>
    </row>
    <row r="11" customFormat="false" ht="45" hidden="false" customHeight="true" outlineLevel="0" collapsed="false">
      <c r="A11" s="1"/>
      <c r="B11" s="7" t="s">
        <v>6</v>
      </c>
      <c r="C11" s="8" t="s">
        <v>7</v>
      </c>
      <c r="D11" s="8"/>
      <c r="E11" s="8"/>
      <c r="F11" s="8"/>
    </row>
    <row r="12" customFormat="false" ht="45" hidden="false" customHeight="true" outlineLevel="0" collapsed="false">
      <c r="A12" s="1"/>
      <c r="C12" s="8" t="s">
        <v>8</v>
      </c>
      <c r="D12" s="8"/>
      <c r="E12" s="8"/>
      <c r="F12" s="8"/>
    </row>
    <row r="13" customFormat="false" ht="45" hidden="false" customHeight="true" outlineLevel="0" collapsed="false">
      <c r="A13" s="1"/>
      <c r="C13" s="8" t="s">
        <v>9</v>
      </c>
      <c r="D13" s="8"/>
      <c r="E13" s="8"/>
      <c r="F13" s="8"/>
    </row>
    <row r="14" customFormat="false" ht="15" hidden="false" customHeight="false" outlineLevel="0" collapsed="false">
      <c r="A14" s="1"/>
    </row>
    <row r="15" customFormat="false" ht="15" hidden="false" customHeight="false" outlineLevel="0" collapsed="false">
      <c r="A15" s="1"/>
      <c r="B15" s="7" t="s">
        <v>10</v>
      </c>
      <c r="C15" s="9" t="s">
        <v>11</v>
      </c>
      <c r="D15" s="9"/>
      <c r="E15" s="9"/>
      <c r="F15" s="9"/>
    </row>
    <row r="16" customFormat="false" ht="15" hidden="false" customHeight="false" outlineLevel="0" collapsed="false">
      <c r="A16" s="1"/>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c r="C20" s="9" t="s">
        <v>16</v>
      </c>
      <c r="D20" s="9"/>
      <c r="E20" s="9"/>
      <c r="F20" s="9"/>
    </row>
    <row r="21" customFormat="false" ht="15" hidden="false" customHeight="false" outlineLevel="0" collapsed="false">
      <c r="A21" s="1"/>
      <c r="C21" s="9" t="s">
        <v>17</v>
      </c>
      <c r="D21" s="9"/>
      <c r="E21" s="9"/>
      <c r="F21" s="9"/>
    </row>
    <row r="22" customFormat="false" ht="15" hidden="false" customHeight="false" outlineLevel="0" collapsed="false">
      <c r="A22" s="1"/>
    </row>
    <row r="23" customFormat="false" ht="15" hidden="false" customHeight="false" outlineLevel="0" collapsed="false">
      <c r="A23" s="1"/>
      <c r="B23" s="7" t="s">
        <v>18</v>
      </c>
      <c r="C23" s="10" t="s">
        <v>19</v>
      </c>
      <c r="D23" s="11"/>
      <c r="E23" s="12" t="n">
        <f aca="false">Inputs!$C$7</f>
        <v>1.68</v>
      </c>
    </row>
    <row r="24" customFormat="false" ht="15" hidden="false" customHeight="false" outlineLevel="0" collapsed="false">
      <c r="A24" s="1"/>
      <c r="C24" s="10" t="s">
        <v>20</v>
      </c>
      <c r="D24" s="11"/>
      <c r="E24" s="13" t="n">
        <f aca="false">'Exchange Ratio'!$C$20</f>
        <v>0.410128891350194</v>
      </c>
    </row>
    <row r="25" customFormat="false" ht="15" hidden="false" customHeight="false" outlineLevel="0" collapsed="false">
      <c r="A25" s="1"/>
      <c r="C25" s="10" t="s">
        <v>21</v>
      </c>
      <c r="D25" s="11"/>
      <c r="E25" s="13" t="n">
        <f aca="false">Accretion!$C$17</f>
        <v>-0.0931093439870365</v>
      </c>
    </row>
    <row r="26" customFormat="false" ht="15" hidden="false" customHeight="false" outlineLevel="0" collapsed="false">
      <c r="A26" s="1"/>
      <c r="C26" s="10" t="s">
        <v>22</v>
      </c>
      <c r="D26" s="11"/>
      <c r="E26" s="14" t="str">
        <f aca="false">TEXT('Post-Mortem'!$C$11,"0.0%")&amp;" → "&amp;TEXT('Post-Mortem'!$F$11,"0.0%")</f>
        <v>15.7% → 12.8%</v>
      </c>
    </row>
    <row r="27" customFormat="false" ht="15" hidden="false" customHeight="false" outlineLevel="0" collapsed="false">
      <c r="A27" s="1"/>
      <c r="C27" s="10" t="s">
        <v>23</v>
      </c>
      <c r="D27" s="11"/>
      <c r="E27" s="14" t="str">
        <f aca="false">TEXT('Post-Mortem'!$C$29,"0%")&amp;" vs "&amp;TEXT('Post-Mortem'!$C$30,"0%")</f>
        <v>4% vs 51%</v>
      </c>
    </row>
    <row r="28" customFormat="false" ht="15" hidden="false" customHeight="false" outlineLevel="0" collapsed="false">
      <c r="A28" s="1"/>
      <c r="C28" s="10" t="s">
        <v>24</v>
      </c>
      <c r="D28" s="11"/>
      <c r="E28" s="14" t="str">
        <f aca="false">TEXT('Post-Mortem'!$C$33,"0.0")&amp;"x → "&amp;TEXT('Post-Mortem'!$C$32,"0.0")&amp;"x"</f>
        <v>3.5x → 2.1x</v>
      </c>
    </row>
    <row r="29" customFormat="false" ht="15" hidden="false" customHeight="false" outlineLevel="0" collapsed="false">
      <c r="A29" s="1"/>
    </row>
    <row r="30" customFormat="false" ht="15" hidden="false" customHeight="false" outlineLevel="0" collapsed="false">
      <c r="A30" s="1"/>
      <c r="B30" s="7" t="s">
        <v>25</v>
      </c>
      <c r="C30" s="15" t="s">
        <v>26</v>
      </c>
    </row>
    <row r="31" customFormat="false" ht="15" hidden="false" customHeight="false" outlineLevel="0" collapsed="false">
      <c r="A31" s="1"/>
      <c r="C31" s="16" t="s">
        <v>27</v>
      </c>
    </row>
    <row r="32" customFormat="false" ht="15" hidden="false" customHeight="false" outlineLevel="0" collapsed="false">
      <c r="A32" s="1"/>
      <c r="C32" s="17" t="s">
        <v>28</v>
      </c>
    </row>
    <row r="33" customFormat="false" ht="15" hidden="false" customHeight="false" outlineLevel="0" collapsed="false">
      <c r="A33" s="1"/>
      <c r="C33" s="18" t="s">
        <v>29</v>
      </c>
    </row>
    <row r="34" customFormat="false" ht="15" hidden="false" customHeight="false" outlineLevel="0" collapsed="false">
      <c r="A34" s="1"/>
    </row>
    <row r="35" customFormat="false" ht="42" hidden="false" customHeight="true" outlineLevel="0" collapsed="false">
      <c r="A35" s="1"/>
      <c r="B35" s="7" t="s">
        <v>30</v>
      </c>
      <c r="C35" s="19" t="s">
        <v>31</v>
      </c>
      <c r="D35" s="19"/>
      <c r="E35" s="19"/>
      <c r="F35" s="19"/>
    </row>
    <row r="36" customFormat="false" ht="27.75" hidden="false" customHeight="true" outlineLevel="0" collapsed="false">
      <c r="A36" s="1"/>
      <c r="C36" s="19" t="s">
        <v>32</v>
      </c>
      <c r="D36" s="19"/>
      <c r="E36" s="19"/>
      <c r="F36" s="19"/>
    </row>
    <row r="37" customFormat="false" ht="27.75" hidden="false" customHeight="true" outlineLevel="0" collapsed="false">
      <c r="A37" s="1"/>
      <c r="C37" s="19" t="s">
        <v>33</v>
      </c>
      <c r="D37" s="19"/>
      <c r="E37" s="19"/>
      <c r="F37" s="19"/>
    </row>
    <row r="38" customFormat="false" ht="15" hidden="false" customHeight="false" outlineLevel="0" collapsed="false">
      <c r="A38" s="1"/>
    </row>
    <row r="39" customFormat="false" ht="15" hidden="false" customHeight="false" outlineLevel="0" collapsed="false">
      <c r="A39" s="1"/>
      <c r="B39" s="7" t="s">
        <v>34</v>
      </c>
      <c r="C39" s="20" t="s">
        <v>35</v>
      </c>
    </row>
    <row r="40" customFormat="false" ht="15" hidden="false" customHeight="false" outlineLevel="0" collapsed="false">
      <c r="A40" s="1"/>
    </row>
    <row r="41" customFormat="false" ht="15" hidden="false" customHeight="false" outlineLevel="0" collapsed="false">
      <c r="A41" s="1"/>
    </row>
    <row r="42" customFormat="false" ht="15" hidden="false" customHeight="false" outlineLevel="0" collapsed="false">
      <c r="A42" s="1"/>
    </row>
    <row r="43" customFormat="false" ht="15" hidden="false" customHeight="false" outlineLevel="0" collapsed="false">
      <c r="A43" s="1"/>
    </row>
    <row r="44" customFormat="false" ht="15" hidden="false" customHeight="false" outlineLevel="0" collapsed="false">
      <c r="A44" s="1"/>
    </row>
    <row r="45" customFormat="false" ht="15" hidden="false" customHeight="false" outlineLevel="0" collapsed="false">
      <c r="A45" s="1"/>
    </row>
  </sheetData>
  <mergeCells count="14">
    <mergeCell ref="C9:F9"/>
    <mergeCell ref="C11:F11"/>
    <mergeCell ref="C12:F12"/>
    <mergeCell ref="C13:F13"/>
    <mergeCell ref="C15:F15"/>
    <mergeCell ref="C16:F16"/>
    <mergeCell ref="C17:F17"/>
    <mergeCell ref="C18:F18"/>
    <mergeCell ref="C19:F19"/>
    <mergeCell ref="C20:F20"/>
    <mergeCell ref="C21:F21"/>
    <mergeCell ref="C35:F35"/>
    <mergeCell ref="C36:F36"/>
    <mergeCell ref="C37:F37"/>
  </mergeCells>
  <hyperlinks>
    <hyperlink ref="C15" r:id="rId1" location="'Summary'!A1" display="Summary  —  at announcement; three years on"/>
    <hyperlink ref="C16" r:id="rId2" location="'Exchange%20Ratio'!A1" display="Exchange Ratio  —  contribution analysis; the agreed ratio against the implied ones"/>
    <hyperlink ref="C17" r:id="rId3" location="'Accretion'!A1" display="Accretion  —  pro forma EPS, book, ROE; value at announcement"/>
    <hyperlink ref="C18" r:id="rId4" location="'Regulatory%20Drag'!A1" display="Regulatory Drag  —  CRR, SLR, priority sector, funding saving"/>
    <hyperlink ref="C19" r:id="rId5" location="'Post-Mortem'!A1" display="Post-Mortem  —  reported results; price against the index; the de-rating"/>
    <hyperlink ref="C20" r:id="rId6" location="'Inputs'!A1" display="Inputs  —  terms, market data, FY2022 accounts, regulatory parameters"/>
    <hyperlink ref="C21" r:id="rId7" location="'Checks'!A1" display="Checks  —  fifteen tests; must read MODEL OK"/>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&amp;L&amp;"Arial,Bold"&amp;8HDFC Bank / HDFC Ltd — Capstone: Live-Deal Replication and Post-Mortem&amp;R&amp;"Arial,Regular"&amp;8Cover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2"/>
    <col collapsed="false" customWidth="true" hidden="false" outlineLevel="0" max="6" min="3" style="0" width="13"/>
    <col collapsed="false" customWidth="true" hidden="false" outlineLevel="0" max="7" min="7" style="0" width="58"/>
  </cols>
  <sheetData>
    <row r="1" customFormat="false" ht="30" hidden="false" customHeight="true" outlineLevel="0" collapsed="false">
      <c r="A1" s="1"/>
      <c r="B1" s="21" t="s">
        <v>36</v>
      </c>
      <c r="C1" s="1"/>
      <c r="D1" s="1"/>
      <c r="E1" s="1"/>
      <c r="F1" s="1"/>
      <c r="G1" s="22" t="s">
        <v>37</v>
      </c>
    </row>
    <row r="2" customFormat="false" ht="18" hidden="false" customHeight="true" outlineLevel="0" collapsed="false">
      <c r="A2" s="1"/>
      <c r="B2" s="23" t="s">
        <v>38</v>
      </c>
      <c r="C2" s="1"/>
      <c r="D2" s="1"/>
      <c r="E2" s="1"/>
      <c r="F2" s="1"/>
      <c r="G2" s="1"/>
    </row>
    <row r="4" customFormat="false" ht="15.75" hidden="false" customHeight="true" outlineLevel="0" collapsed="false">
      <c r="B4" s="24" t="s">
        <v>39</v>
      </c>
      <c r="C4" s="1"/>
      <c r="D4" s="1"/>
      <c r="E4" s="1"/>
      <c r="F4" s="1"/>
      <c r="G4" s="1"/>
    </row>
    <row r="5" customFormat="false" ht="15" hidden="false" customHeight="false" outlineLevel="0" collapsed="false">
      <c r="B5" s="20" t="s">
        <v>40</v>
      </c>
      <c r="C5" s="25" t="n">
        <v>42</v>
      </c>
    </row>
    <row r="6" customFormat="false" ht="15" hidden="false" customHeight="false" outlineLevel="0" collapsed="false">
      <c r="B6" s="20" t="s">
        <v>41</v>
      </c>
      <c r="C6" s="25" t="n">
        <v>25</v>
      </c>
    </row>
    <row r="7" customFormat="false" ht="15" hidden="false" customHeight="false" outlineLevel="0" collapsed="false">
      <c r="B7" s="26" t="s">
        <v>42</v>
      </c>
      <c r="C7" s="27" t="n">
        <f aca="false">Inputs!$C$5/Inputs!$C$6</f>
        <v>1.68</v>
      </c>
    </row>
    <row r="8" customFormat="false" ht="15" hidden="false" customHeight="false" outlineLevel="0" collapsed="false">
      <c r="B8" s="20" t="s">
        <v>43</v>
      </c>
      <c r="C8" s="28" t="n">
        <v>0.21</v>
      </c>
    </row>
    <row r="9" customFormat="false" ht="22.35" hidden="false" customHeight="false" outlineLevel="0" collapsed="false">
      <c r="B9" s="20" t="s">
        <v>44</v>
      </c>
      <c r="C9" s="29" t="n">
        <v>14000</v>
      </c>
      <c r="G9" s="30" t="s">
        <v>45</v>
      </c>
    </row>
    <row r="10" customFormat="false" ht="15" hidden="false" customHeight="false" outlineLevel="0" collapsed="false">
      <c r="B10" s="20" t="s">
        <v>46</v>
      </c>
      <c r="C10" s="31" t="n">
        <v>15.5</v>
      </c>
    </row>
    <row r="11" customFormat="false" ht="15" hidden="false" customHeight="false" outlineLevel="0" collapsed="false">
      <c r="B11" s="20" t="s">
        <v>47</v>
      </c>
      <c r="C11" s="32" t="s">
        <v>48</v>
      </c>
    </row>
    <row r="13" customFormat="false" ht="15.75" hidden="false" customHeight="true" outlineLevel="0" collapsed="false">
      <c r="B13" s="24" t="s">
        <v>49</v>
      </c>
      <c r="C13" s="1"/>
      <c r="D13" s="1"/>
      <c r="E13" s="1"/>
      <c r="F13" s="1"/>
      <c r="G13" s="1"/>
    </row>
    <row r="14" customFormat="false" ht="18" hidden="false" customHeight="true" outlineLevel="0" collapsed="false">
      <c r="B14" s="26"/>
      <c r="C14" s="33" t="s">
        <v>50</v>
      </c>
      <c r="D14" s="33" t="s">
        <v>51</v>
      </c>
    </row>
    <row r="15" customFormat="false" ht="15" hidden="false" customHeight="false" outlineLevel="0" collapsed="false">
      <c r="B15" s="26" t="s">
        <v>52</v>
      </c>
      <c r="C15" s="31" t="n">
        <v>1506.55</v>
      </c>
      <c r="D15" s="31" t="n">
        <v>2450.25</v>
      </c>
    </row>
    <row r="16" customFormat="false" ht="15" hidden="false" customHeight="false" outlineLevel="0" collapsed="false">
      <c r="B16" s="20" t="s">
        <v>53</v>
      </c>
      <c r="C16" s="31" t="n">
        <v>554.55</v>
      </c>
      <c r="D16" s="31" t="n">
        <v>181.31</v>
      </c>
    </row>
    <row r="17" customFormat="false" ht="15" hidden="false" customHeight="false" outlineLevel="0" collapsed="false">
      <c r="B17" s="26" t="s">
        <v>54</v>
      </c>
      <c r="C17" s="34" t="n">
        <f aca="false">Inputs!$C$15*Inputs!$C$16</f>
        <v>835457.3025</v>
      </c>
      <c r="D17" s="34" t="n">
        <f aca="false">Inputs!$D$15*Inputs!$D$16</f>
        <v>444254.8275</v>
      </c>
    </row>
    <row r="18" customFormat="false" ht="15" hidden="false" customHeight="false" outlineLevel="0" collapsed="false">
      <c r="B18" s="20" t="s">
        <v>55</v>
      </c>
      <c r="C18" s="31" t="n">
        <v>1656.8</v>
      </c>
      <c r="D18" s="31" t="n">
        <v>2678.9</v>
      </c>
      <c r="G18" s="30" t="s">
        <v>56</v>
      </c>
    </row>
    <row r="20" customFormat="false" ht="15.75" hidden="false" customHeight="true" outlineLevel="0" collapsed="false">
      <c r="B20" s="24" t="s">
        <v>57</v>
      </c>
      <c r="C20" s="1"/>
      <c r="D20" s="1"/>
      <c r="E20" s="1"/>
      <c r="F20" s="1"/>
      <c r="G20" s="1"/>
    </row>
    <row r="21" customFormat="false" ht="15" hidden="false" customHeight="false" outlineLevel="0" collapsed="false">
      <c r="B21" s="26" t="s">
        <v>58</v>
      </c>
      <c r="C21" s="29" t="n">
        <v>36961</v>
      </c>
      <c r="D21" s="29" t="n">
        <v>13742</v>
      </c>
    </row>
    <row r="22" customFormat="false" ht="15" hidden="false" customHeight="false" outlineLevel="0" collapsed="false">
      <c r="B22" s="26" t="s">
        <v>59</v>
      </c>
      <c r="C22" s="29" t="n">
        <v>240093</v>
      </c>
      <c r="D22" s="29" t="n">
        <v>120187</v>
      </c>
    </row>
    <row r="23" customFormat="false" ht="15" hidden="false" customHeight="false" outlineLevel="0" collapsed="false">
      <c r="B23" s="20" t="s">
        <v>60</v>
      </c>
      <c r="C23" s="29" t="n">
        <v>1368821</v>
      </c>
      <c r="D23" s="29" t="n">
        <v>568363</v>
      </c>
    </row>
    <row r="24" customFormat="false" ht="15" hidden="false" customHeight="false" outlineLevel="0" collapsed="false">
      <c r="B24" s="20" t="s">
        <v>61</v>
      </c>
      <c r="C24" s="29" t="n">
        <v>1559217</v>
      </c>
      <c r="D24" s="29" t="n">
        <v>160900</v>
      </c>
    </row>
    <row r="25" customFormat="false" ht="15" hidden="false" customHeight="false" outlineLevel="0" collapsed="false">
      <c r="B25" s="20" t="s">
        <v>62</v>
      </c>
      <c r="C25" s="29" t="n">
        <v>184817</v>
      </c>
      <c r="D25" s="29" t="n">
        <v>462000</v>
      </c>
    </row>
    <row r="26" customFormat="false" ht="15" hidden="false" customHeight="false" outlineLevel="0" collapsed="false">
      <c r="B26" s="20" t="s">
        <v>63</v>
      </c>
      <c r="C26" s="27" t="n">
        <f aca="false">Inputs!$C$21/Inputs!$C$16</f>
        <v>66.6504372914976</v>
      </c>
      <c r="D26" s="27" t="n">
        <f aca="false">Inputs!$D$21/Inputs!$D$16</f>
        <v>75.7928409905686</v>
      </c>
    </row>
    <row r="27" customFormat="false" ht="15" hidden="false" customHeight="false" outlineLevel="0" collapsed="false">
      <c r="B27" s="20" t="s">
        <v>64</v>
      </c>
      <c r="C27" s="27" t="n">
        <f aca="false">Inputs!$C$22/Inputs!$C$16</f>
        <v>432.951041384907</v>
      </c>
      <c r="D27" s="27" t="n">
        <f aca="false">Inputs!$D$22/Inputs!$D$16</f>
        <v>662.881253102421</v>
      </c>
    </row>
    <row r="28" customFormat="false" ht="15" hidden="false" customHeight="false" outlineLevel="0" collapsed="false">
      <c r="B28" s="20" t="s">
        <v>65</v>
      </c>
      <c r="C28" s="35" t="n">
        <f aca="false">Inputs!$C$21/Inputs!$C$22</f>
        <v>0.153944513167814</v>
      </c>
      <c r="D28" s="35" t="n">
        <f aca="false">Inputs!$D$21/Inputs!$D$22</f>
        <v>0.114338489187683</v>
      </c>
    </row>
    <row r="29" customFormat="false" ht="15" hidden="false" customHeight="false" outlineLevel="0" collapsed="false">
      <c r="B29" s="20" t="s">
        <v>66</v>
      </c>
      <c r="C29" s="36" t="n">
        <f aca="false">Inputs!$C$15/Inputs!$C$27</f>
        <v>3.47972370081593</v>
      </c>
      <c r="D29" s="36" t="n">
        <f aca="false">Inputs!$D$15/Inputs!$D$27</f>
        <v>3.69636339620758</v>
      </c>
    </row>
    <row r="30" customFormat="false" ht="15" hidden="false" customHeight="false" outlineLevel="0" collapsed="false">
      <c r="B30" s="20" t="s">
        <v>67</v>
      </c>
      <c r="C30" s="36" t="n">
        <f aca="false">Inputs!$C$15/Inputs!$C$26</f>
        <v>22.6037526717351</v>
      </c>
      <c r="D30" s="36" t="n">
        <f aca="false">Inputs!$D$15/Inputs!$D$26</f>
        <v>32.3282511643138</v>
      </c>
    </row>
    <row r="32" customFormat="false" ht="15.75" hidden="false" customHeight="true" outlineLevel="0" collapsed="false">
      <c r="B32" s="24" t="s">
        <v>68</v>
      </c>
      <c r="C32" s="1"/>
      <c r="D32" s="1"/>
      <c r="E32" s="1"/>
      <c r="F32" s="1"/>
      <c r="G32" s="1"/>
    </row>
    <row r="33" customFormat="false" ht="15" hidden="false" customHeight="false" outlineLevel="0" collapsed="false">
      <c r="B33" s="20" t="s">
        <v>69</v>
      </c>
      <c r="C33" s="28" t="n">
        <v>0.045</v>
      </c>
    </row>
    <row r="34" customFormat="false" ht="15" hidden="false" customHeight="false" outlineLevel="0" collapsed="false">
      <c r="B34" s="20" t="s">
        <v>70</v>
      </c>
      <c r="C34" s="28" t="n">
        <v>0.18</v>
      </c>
    </row>
    <row r="35" customFormat="false" ht="15" hidden="false" customHeight="false" outlineLevel="0" collapsed="false">
      <c r="B35" s="20" t="s">
        <v>71</v>
      </c>
      <c r="C35" s="28" t="n">
        <v>0.4</v>
      </c>
    </row>
    <row r="36" customFormat="false" ht="15" hidden="false" customHeight="false" outlineLevel="0" collapsed="false">
      <c r="B36" s="20" t="s">
        <v>72</v>
      </c>
      <c r="C36" s="28" t="n">
        <v>0.07</v>
      </c>
      <c r="G36" s="30" t="s">
        <v>73</v>
      </c>
    </row>
    <row r="37" customFormat="false" ht="15" hidden="false" customHeight="false" outlineLevel="0" collapsed="false">
      <c r="B37" s="20" t="s">
        <v>74</v>
      </c>
      <c r="C37" s="28" t="n">
        <v>0.02</v>
      </c>
    </row>
    <row r="38" customFormat="false" ht="15" hidden="false" customHeight="false" outlineLevel="0" collapsed="false">
      <c r="B38" s="20" t="s">
        <v>75</v>
      </c>
      <c r="C38" s="28" t="n">
        <v>0.5</v>
      </c>
      <c r="G38" s="30" t="s">
        <v>76</v>
      </c>
    </row>
    <row r="39" customFormat="false" ht="15" hidden="false" customHeight="false" outlineLevel="0" collapsed="false">
      <c r="B39" s="20" t="s">
        <v>77</v>
      </c>
      <c r="C39" s="28" t="n">
        <v>0.01</v>
      </c>
    </row>
    <row r="40" customFormat="false" ht="15" hidden="false" customHeight="false" outlineLevel="0" collapsed="false">
      <c r="B40" s="20" t="s">
        <v>78</v>
      </c>
      <c r="C40" s="28" t="n">
        <v>0.25</v>
      </c>
    </row>
    <row r="41" customFormat="false" ht="32.8" hidden="false" customHeight="false" outlineLevel="0" collapsed="false">
      <c r="B41" s="20" t="s">
        <v>79</v>
      </c>
      <c r="C41" s="25" t="n">
        <v>3</v>
      </c>
      <c r="G41" s="30" t="s">
        <v>80</v>
      </c>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&amp;L&amp;"Arial,Bold"&amp;8HDFC Bank / HDFC Ltd — Capstone: Live-Deal Replication and Post-Mortem&amp;R&amp;"Arial,Regular"&amp;8Inputs</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2"/>
    <col collapsed="false" customWidth="true" hidden="false" outlineLevel="0" max="6" min="3" style="0" width="13"/>
    <col collapsed="false" customWidth="true" hidden="false" outlineLevel="0" max="7" min="7" style="0" width="54"/>
  </cols>
  <sheetData>
    <row r="1" customFormat="false" ht="30" hidden="false" customHeight="true" outlineLevel="0" collapsed="false">
      <c r="A1" s="1"/>
      <c r="B1" s="21" t="s">
        <v>36</v>
      </c>
      <c r="C1" s="1"/>
      <c r="D1" s="1"/>
      <c r="E1" s="1"/>
      <c r="F1" s="1"/>
      <c r="G1" s="22" t="s">
        <v>37</v>
      </c>
    </row>
    <row r="2" customFormat="false" ht="18" hidden="false" customHeight="true" outlineLevel="0" collapsed="false">
      <c r="A2" s="1"/>
      <c r="B2" s="23" t="s">
        <v>81</v>
      </c>
      <c r="C2" s="1"/>
      <c r="D2" s="1"/>
      <c r="E2" s="1"/>
      <c r="F2" s="1"/>
      <c r="G2" s="1"/>
    </row>
    <row r="4" customFormat="false" ht="15.75" hidden="false" customHeight="true" outlineLevel="0" collapsed="false">
      <c r="B4" s="24" t="s">
        <v>82</v>
      </c>
      <c r="C4" s="1"/>
      <c r="D4" s="1"/>
      <c r="E4" s="1"/>
      <c r="F4" s="1"/>
      <c r="G4" s="1"/>
    </row>
    <row r="5" customFormat="false" ht="18" hidden="false" customHeight="true" outlineLevel="0" collapsed="false">
      <c r="B5" s="26"/>
      <c r="C5" s="33" t="s">
        <v>50</v>
      </c>
      <c r="D5" s="33" t="s">
        <v>51</v>
      </c>
      <c r="E5" s="33" t="s">
        <v>83</v>
      </c>
      <c r="F5" s="33" t="s">
        <v>84</v>
      </c>
    </row>
    <row r="6" customFormat="false" ht="15" hidden="false" customHeight="false" outlineLevel="0" collapsed="false">
      <c r="B6" s="20" t="s">
        <v>58</v>
      </c>
      <c r="C6" s="37" t="n">
        <f aca="false">Inputs!$C$21</f>
        <v>36961</v>
      </c>
      <c r="D6" s="37" t="n">
        <f aca="false">Inputs!$D$21</f>
        <v>13742</v>
      </c>
      <c r="E6" s="35" t="n">
        <f aca="false">(D6+Inputs!$C$8*C6)/(C6+D6)</f>
        <v>0.424113168846025</v>
      </c>
      <c r="F6" s="27" t="n">
        <f aca="false">E6/(1-E6)*Inputs!$C$16*(1-Inputs!$C$8)/Inputs!$D$16</f>
        <v>1.77946992794375</v>
      </c>
    </row>
    <row r="7" customFormat="false" ht="15" hidden="false" customHeight="false" outlineLevel="0" collapsed="false">
      <c r="B7" s="20" t="s">
        <v>59</v>
      </c>
      <c r="C7" s="37" t="n">
        <f aca="false">Inputs!$C$22</f>
        <v>240093</v>
      </c>
      <c r="D7" s="37" t="n">
        <f aca="false">Inputs!$D$22</f>
        <v>120187</v>
      </c>
      <c r="E7" s="35" t="n">
        <f aca="false">(D7+Inputs!$C$8*C7)/(C7+D7)</f>
        <v>0.473538719884534</v>
      </c>
      <c r="F7" s="27" t="n">
        <f aca="false">E7/(1-E7)*Inputs!$C$16*(1-Inputs!$C$8)/Inputs!$D$16</f>
        <v>2.17337718306844</v>
      </c>
    </row>
    <row r="8" customFormat="false" ht="15" hidden="false" customHeight="false" outlineLevel="0" collapsed="false">
      <c r="B8" s="20" t="s">
        <v>85</v>
      </c>
      <c r="C8" s="37" t="n">
        <f aca="false">Inputs!$C$23</f>
        <v>1368821</v>
      </c>
      <c r="D8" s="37" t="n">
        <f aca="false">Inputs!$D$23</f>
        <v>568363</v>
      </c>
      <c r="E8" s="35" t="n">
        <f aca="false">(D8+Inputs!$C$8*C8)/(C8+D8)</f>
        <v>0.441783232774997</v>
      </c>
      <c r="F8" s="27" t="n">
        <f aca="false">E8/(1-E8)*Inputs!$C$16*(1-Inputs!$C$8)/Inputs!$D$16</f>
        <v>1.91228401424241</v>
      </c>
    </row>
    <row r="9" customFormat="false" ht="15" hidden="false" customHeight="false" outlineLevel="0" collapsed="false">
      <c r="B9" s="20" t="s">
        <v>86</v>
      </c>
      <c r="C9" s="37" t="n">
        <f aca="false">Inputs!$C$17</f>
        <v>835457.3025</v>
      </c>
      <c r="D9" s="37" t="n">
        <f aca="false">Inputs!$D$17</f>
        <v>444254.8275</v>
      </c>
      <c r="E9" s="35" t="n">
        <f aca="false">D9/(C9*(1-Inputs!$C$8)+D9)</f>
        <v>0.4023077670483</v>
      </c>
      <c r="F9" s="27" t="n">
        <f aca="false">E9/(1-E9)*Inputs!$C$16*(1-Inputs!$C$8)/Inputs!$D$16</f>
        <v>1.62639806179682</v>
      </c>
    </row>
    <row r="10" customFormat="false" ht="43.5" hidden="false" customHeight="true" outlineLevel="0" collapsed="false">
      <c r="B10" s="19" t="s">
        <v>87</v>
      </c>
      <c r="C10" s="19"/>
      <c r="D10" s="19"/>
      <c r="E10" s="19"/>
      <c r="F10" s="19"/>
      <c r="G10" s="19"/>
    </row>
    <row r="12" customFormat="false" ht="15.75" hidden="false" customHeight="true" outlineLevel="0" collapsed="false">
      <c r="B12" s="24" t="s">
        <v>88</v>
      </c>
      <c r="C12" s="1"/>
      <c r="D12" s="1"/>
      <c r="E12" s="1"/>
      <c r="F12" s="1"/>
      <c r="G12" s="1"/>
    </row>
    <row r="13" customFormat="false" ht="15" hidden="false" customHeight="false" outlineLevel="0" collapsed="false">
      <c r="B13" s="26" t="s">
        <v>89</v>
      </c>
      <c r="C13" s="38" t="n">
        <f aca="false">Inputs!$C$7</f>
        <v>1.68</v>
      </c>
    </row>
    <row r="14" customFormat="false" ht="15" hidden="false" customHeight="false" outlineLevel="0" collapsed="false">
      <c r="B14" s="26" t="s">
        <v>90</v>
      </c>
      <c r="C14" s="27" t="n">
        <f aca="false">Inputs!$C$7*Inputs!$C$15</f>
        <v>2531.004</v>
      </c>
    </row>
    <row r="15" customFormat="false" ht="15" hidden="false" customHeight="false" outlineLevel="0" collapsed="false">
      <c r="B15" s="26" t="s">
        <v>91</v>
      </c>
      <c r="C15" s="35" t="n">
        <f aca="false">'Exchange Ratio'!$C$14/Inputs!$D$15-1</f>
        <v>0.0329574533210897</v>
      </c>
      <c r="G15" s="30" t="s">
        <v>92</v>
      </c>
    </row>
    <row r="16" customFormat="false" ht="22.35" hidden="false" customHeight="false" outlineLevel="0" collapsed="false">
      <c r="B16" s="20" t="s">
        <v>93</v>
      </c>
      <c r="C16" s="35" t="n">
        <f aca="false">'Exchange Ratio'!$C$14/(Inputs!$D$15-Inputs!$C$8*Inputs!$C$17/Inputs!$D$16)-1</f>
        <v>0.707147777623223</v>
      </c>
      <c r="G16" s="30" t="s">
        <v>94</v>
      </c>
    </row>
    <row r="17" customFormat="false" ht="15" hidden="false" customHeight="false" outlineLevel="0" collapsed="false">
      <c r="B17" s="20" t="s">
        <v>95</v>
      </c>
      <c r="C17" s="27" t="n">
        <f aca="false">Inputs!$C$7*Inputs!$D$16</f>
        <v>304.6008</v>
      </c>
    </row>
    <row r="18" customFormat="false" ht="15" hidden="false" customHeight="false" outlineLevel="0" collapsed="false">
      <c r="B18" s="20" t="s">
        <v>96</v>
      </c>
      <c r="C18" s="27" t="n">
        <f aca="false">Inputs!$C$8*Inputs!$C$16</f>
        <v>116.4555</v>
      </c>
    </row>
    <row r="19" customFormat="false" ht="15" hidden="false" customHeight="false" outlineLevel="0" collapsed="false">
      <c r="B19" s="26" t="s">
        <v>97</v>
      </c>
      <c r="C19" s="39" t="n">
        <f aca="false">Inputs!$C$16-'Exchange Ratio'!$C$18+'Exchange Ratio'!$C$17</f>
        <v>742.6953</v>
      </c>
    </row>
    <row r="20" customFormat="false" ht="15" hidden="false" customHeight="false" outlineLevel="0" collapsed="false">
      <c r="B20" s="26" t="s">
        <v>98</v>
      </c>
      <c r="C20" s="40" t="n">
        <f aca="false">'Exchange Ratio'!$C$17/'Exchange Ratio'!$C$19</f>
        <v>0.410128891350194</v>
      </c>
      <c r="G20" s="30" t="s">
        <v>99</v>
      </c>
    </row>
    <row r="21" customFormat="false" ht="15" hidden="false" customHeight="false" outlineLevel="0" collapsed="false">
      <c r="B21" s="20" t="s">
        <v>100</v>
      </c>
      <c r="C21" s="35" t="n">
        <f aca="false">'Exchange Ratio'!$C$20-'Exchange Ratio'!$E$6</f>
        <v>-0.0139842774958305</v>
      </c>
    </row>
    <row r="22" customFormat="false" ht="15" hidden="false" customHeight="false" outlineLevel="0" collapsed="false">
      <c r="B22" s="20" t="s">
        <v>101</v>
      </c>
      <c r="C22" s="35" t="n">
        <f aca="false">'Exchange Ratio'!$C$20-'Exchange Ratio'!$E$7</f>
        <v>-0.0634098285343399</v>
      </c>
    </row>
  </sheetData>
  <mergeCells count="1">
    <mergeCell ref="B10:G10"/>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&amp;L&amp;"Arial,Bold"&amp;8HDFC Bank / HDFC Ltd — Capstone: Live-Deal Replication and Post-Mortem&amp;R&amp;"Arial,Regular"&amp;8Exchange Ratio</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2"/>
    <col collapsed="false" customWidth="true" hidden="false" outlineLevel="0" max="5" min="3" style="0" width="15"/>
    <col collapsed="false" customWidth="true" hidden="false" outlineLevel="0" max="6" min="6" style="0" width="58"/>
  </cols>
  <sheetData>
    <row r="1" customFormat="false" ht="30" hidden="false" customHeight="true" outlineLevel="0" collapsed="false">
      <c r="A1" s="1"/>
      <c r="B1" s="21" t="s">
        <v>36</v>
      </c>
      <c r="C1" s="1"/>
      <c r="D1" s="1"/>
      <c r="E1" s="1"/>
      <c r="F1" s="22" t="s">
        <v>37</v>
      </c>
    </row>
    <row r="2" customFormat="false" ht="18" hidden="false" customHeight="true" outlineLevel="0" collapsed="false">
      <c r="A2" s="1"/>
      <c r="B2" s="23" t="s">
        <v>102</v>
      </c>
      <c r="C2" s="1"/>
      <c r="D2" s="1"/>
      <c r="E2" s="1"/>
      <c r="F2" s="1"/>
    </row>
    <row r="4" customFormat="false" ht="15.75" hidden="false" customHeight="true" outlineLevel="0" collapsed="false">
      <c r="B4" s="24" t="s">
        <v>103</v>
      </c>
      <c r="C4" s="1"/>
      <c r="D4" s="1"/>
      <c r="E4" s="1"/>
      <c r="F4" s="1"/>
    </row>
    <row r="5" customFormat="false" ht="22.35" hidden="false" customHeight="false" outlineLevel="0" collapsed="false">
      <c r="B5" s="20" t="s">
        <v>104</v>
      </c>
      <c r="C5" s="34" t="n">
        <f aca="false">Inputs!$C$21+Inputs!$D$21-Inputs!$C$8*Inputs!$C$10*Inputs!$C$16</f>
        <v>48897.93975</v>
      </c>
      <c r="F5" s="30" t="s">
        <v>105</v>
      </c>
    </row>
    <row r="6" customFormat="false" ht="15" hidden="false" customHeight="false" outlineLevel="0" collapsed="false">
      <c r="B6" s="26" t="s">
        <v>106</v>
      </c>
      <c r="C6" s="27" t="n">
        <f aca="false">Accretion!$C$5/'Exchange Ratio'!$C$19</f>
        <v>65.8384935921905</v>
      </c>
    </row>
    <row r="7" customFormat="false" ht="15" hidden="false" customHeight="false" outlineLevel="0" collapsed="false">
      <c r="B7" s="26" t="s">
        <v>107</v>
      </c>
      <c r="C7" s="40" t="n">
        <f aca="false">Accretion!$C$6/Inputs!$C$26-1</f>
        <v>-0.012182121112815</v>
      </c>
    </row>
    <row r="8" customFormat="false" ht="22.35" hidden="false" customHeight="false" outlineLevel="0" collapsed="false">
      <c r="B8" s="20" t="s">
        <v>108</v>
      </c>
      <c r="C8" s="34" t="n">
        <f aca="false">Inputs!$C$22+Inputs!$D$22-Inputs!$C$9</f>
        <v>346280</v>
      </c>
      <c r="F8" s="30" t="s">
        <v>109</v>
      </c>
    </row>
    <row r="9" customFormat="false" ht="15" hidden="false" customHeight="false" outlineLevel="0" collapsed="false">
      <c r="B9" s="26" t="s">
        <v>110</v>
      </c>
      <c r="C9" s="27" t="n">
        <f aca="false">Accretion!$C$8/'Exchange Ratio'!$C$19</f>
        <v>466.247733087849</v>
      </c>
    </row>
    <row r="10" customFormat="false" ht="15" hidden="false" customHeight="false" outlineLevel="0" collapsed="false">
      <c r="B10" s="26" t="s">
        <v>111</v>
      </c>
      <c r="C10" s="40" t="n">
        <f aca="false">Accretion!$C$9/Inputs!$C$27-1</f>
        <v>0.0769063670488799</v>
      </c>
    </row>
    <row r="11" customFormat="false" ht="15" hidden="false" customHeight="false" outlineLevel="0" collapsed="false">
      <c r="B11" s="26" t="s">
        <v>112</v>
      </c>
      <c r="C11" s="35" t="n">
        <f aca="false">Accretion!$C$5/Accretion!$C$8</f>
        <v>0.141209251905972</v>
      </c>
    </row>
    <row r="12" customFormat="false" ht="15" hidden="false" customHeight="false" outlineLevel="0" collapsed="false">
      <c r="B12" s="20" t="s">
        <v>113</v>
      </c>
      <c r="C12" s="35" t="n">
        <f aca="false">Accretion!$C$11-Inputs!$C$28</f>
        <v>-0.0127352612618421</v>
      </c>
    </row>
    <row r="14" customFormat="false" ht="15.75" hidden="false" customHeight="true" outlineLevel="0" collapsed="false">
      <c r="B14" s="24" t="s">
        <v>114</v>
      </c>
      <c r="C14" s="1"/>
      <c r="D14" s="1"/>
      <c r="E14" s="1"/>
      <c r="F14" s="1"/>
    </row>
    <row r="15" customFormat="false" ht="15" hidden="false" customHeight="false" outlineLevel="0" collapsed="false">
      <c r="B15" s="26" t="s">
        <v>115</v>
      </c>
      <c r="C15" s="29" t="n">
        <f aca="false">Accretion!$C$5+'Regulatory Drag'!$C$27</f>
        <v>44891.964</v>
      </c>
    </row>
    <row r="16" customFormat="false" ht="15" hidden="false" customHeight="false" outlineLevel="0" collapsed="false">
      <c r="B16" s="26" t="s">
        <v>116</v>
      </c>
      <c r="C16" s="31" t="n">
        <f aca="false">(Accretion!$C$5+'Regulatory Drag'!$C$27)/'Exchange Ratio'!$C$19</f>
        <v>60.4446587988372</v>
      </c>
    </row>
    <row r="17" customFormat="false" ht="15" hidden="false" customHeight="false" outlineLevel="0" collapsed="false">
      <c r="B17" s="26" t="s">
        <v>117</v>
      </c>
      <c r="C17" s="41" t="n">
        <f aca="false">(Accretion!$C$5+'Regulatory Drag'!$C$27)/'Exchange Ratio'!$C$19/Inputs!$C$26-1</f>
        <v>-0.0931093439870365</v>
      </c>
    </row>
    <row r="18" customFormat="false" ht="15" hidden="false" customHeight="false" outlineLevel="0" collapsed="false">
      <c r="B18" s="26" t="s">
        <v>118</v>
      </c>
      <c r="C18" s="28" t="n">
        <f aca="false">(Accretion!$C$5+'Regulatory Drag'!$C$27)/Accretion!$C$8</f>
        <v>0.12964064918563</v>
      </c>
    </row>
    <row r="20" customFormat="false" ht="15.75" hidden="false" customHeight="true" outlineLevel="0" collapsed="false">
      <c r="B20" s="24" t="s">
        <v>119</v>
      </c>
      <c r="C20" s="1"/>
      <c r="D20" s="1"/>
      <c r="E20" s="1"/>
      <c r="F20" s="1"/>
    </row>
    <row r="21" customFormat="false" ht="15" hidden="false" customHeight="false" outlineLevel="0" collapsed="false">
      <c r="B21" s="20" t="s">
        <v>120</v>
      </c>
      <c r="C21" s="34" t="n">
        <f aca="false">Inputs!$C$17*(1-Inputs!$C$8)+Inputs!$D$17</f>
        <v>1104266.096475</v>
      </c>
    </row>
    <row r="22" customFormat="false" ht="15" hidden="false" customHeight="false" outlineLevel="0" collapsed="false">
      <c r="B22" s="26" t="s">
        <v>121</v>
      </c>
      <c r="C22" s="36" t="n">
        <f aca="false">Accretion!$C$21/Accretion!$C$8</f>
        <v>3.18893986506584</v>
      </c>
    </row>
    <row r="23" customFormat="false" ht="15" hidden="false" customHeight="false" outlineLevel="0" collapsed="false">
      <c r="B23" s="20" t="s">
        <v>122</v>
      </c>
      <c r="C23" s="42" t="n">
        <f aca="false">Inputs!$C$29</f>
        <v>3.47972370081593</v>
      </c>
    </row>
    <row r="24" customFormat="false" ht="22.35" hidden="false" customHeight="false" outlineLevel="0" collapsed="false">
      <c r="B24" s="26" t="s">
        <v>123</v>
      </c>
      <c r="C24" s="36" t="n">
        <f aca="false">Inputs!$C$15/Accretion!$C$9</f>
        <v>3.23122214455065</v>
      </c>
      <c r="F24" s="30" t="s">
        <v>124</v>
      </c>
    </row>
    <row r="25" customFormat="false" ht="43.5" hidden="false" customHeight="true" outlineLevel="0" collapsed="false">
      <c r="B25" s="19" t="s">
        <v>125</v>
      </c>
      <c r="C25" s="19"/>
      <c r="D25" s="19"/>
      <c r="E25" s="19"/>
      <c r="F25" s="19"/>
    </row>
  </sheetData>
  <mergeCells count="1">
    <mergeCell ref="B25:F25"/>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&amp;L&amp;"Arial,Bold"&amp;8HDFC Bank / HDFC Ltd — Capstone: Live-Deal Replication and Post-Mortem&amp;R&amp;"Arial,Regular"&amp;8Accretion</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2"/>
    <col collapsed="false" customWidth="true" hidden="false" outlineLevel="0" max="5" min="3" style="0" width="15"/>
    <col collapsed="false" customWidth="true" hidden="false" outlineLevel="0" max="6" min="6" style="0" width="58"/>
  </cols>
  <sheetData>
    <row r="1" customFormat="false" ht="30" hidden="false" customHeight="true" outlineLevel="0" collapsed="false">
      <c r="A1" s="1"/>
      <c r="B1" s="21" t="s">
        <v>36</v>
      </c>
      <c r="C1" s="1"/>
      <c r="D1" s="1"/>
      <c r="E1" s="1"/>
      <c r="F1" s="22" t="s">
        <v>37</v>
      </c>
    </row>
    <row r="2" customFormat="false" ht="18" hidden="false" customHeight="true" outlineLevel="0" collapsed="false">
      <c r="A2" s="1"/>
      <c r="B2" s="23" t="s">
        <v>126</v>
      </c>
      <c r="C2" s="1"/>
      <c r="D2" s="1"/>
      <c r="E2" s="1"/>
      <c r="F2" s="1"/>
    </row>
    <row r="4" customFormat="false" ht="15.75" hidden="false" customHeight="true" outlineLevel="0" collapsed="false">
      <c r="B4" s="24" t="s">
        <v>127</v>
      </c>
      <c r="C4" s="1"/>
      <c r="D4" s="1"/>
      <c r="E4" s="1"/>
      <c r="F4" s="1"/>
    </row>
    <row r="5" customFormat="false" ht="15" hidden="false" customHeight="false" outlineLevel="0" collapsed="false">
      <c r="B5" s="20" t="s">
        <v>128</v>
      </c>
      <c r="C5" s="34" t="n">
        <f aca="false">Inputs!$D$24+Inputs!$D$25</f>
        <v>622900</v>
      </c>
    </row>
    <row r="6" customFormat="false" ht="15" hidden="false" customHeight="false" outlineLevel="0" collapsed="false">
      <c r="B6" s="20" t="s">
        <v>129</v>
      </c>
      <c r="C6" s="34" t="n">
        <f aca="false">'Regulatory Drag'!$C$5*Inputs!$C$33</f>
        <v>28030.5</v>
      </c>
    </row>
    <row r="7" customFormat="false" ht="15" hidden="false" customHeight="false" outlineLevel="0" collapsed="false">
      <c r="B7" s="20" t="s">
        <v>130</v>
      </c>
      <c r="C7" s="34" t="n">
        <f aca="false">'Regulatory Drag'!$C$5*Inputs!$C$34</f>
        <v>112122</v>
      </c>
    </row>
    <row r="8" customFormat="false" ht="15" hidden="false" customHeight="false" outlineLevel="0" collapsed="false">
      <c r="B8" s="26" t="s">
        <v>131</v>
      </c>
      <c r="C8" s="43" t="n">
        <f aca="false">'Regulatory Drag'!$C$6+'Regulatory Drag'!$C$7</f>
        <v>140152.5</v>
      </c>
    </row>
    <row r="9" customFormat="false" ht="15" hidden="false" customHeight="false" outlineLevel="0" collapsed="false">
      <c r="B9" s="20" t="s">
        <v>132</v>
      </c>
      <c r="C9" s="35" t="n">
        <f aca="false">'Regulatory Drag'!$C$8/Inputs!$D$23</f>
        <v>0.246589767454954</v>
      </c>
    </row>
    <row r="10" customFormat="false" ht="22.35" hidden="false" customHeight="false" outlineLevel="0" collapsed="false">
      <c r="B10" s="26" t="s">
        <v>133</v>
      </c>
      <c r="C10" s="34" t="n">
        <f aca="false">'Regulatory Drag'!$C$6*Inputs!$C$36+'Regulatory Drag'!$C$7*Inputs!$C$37</f>
        <v>4204.575</v>
      </c>
      <c r="F10" s="30" t="s">
        <v>134</v>
      </c>
    </row>
    <row r="12" customFormat="false" ht="15.75" hidden="false" customHeight="true" outlineLevel="0" collapsed="false">
      <c r="B12" s="24" t="s">
        <v>135</v>
      </c>
      <c r="C12" s="1"/>
      <c r="D12" s="1"/>
      <c r="E12" s="1"/>
      <c r="F12" s="1"/>
    </row>
    <row r="13" customFormat="false" ht="15" hidden="false" customHeight="false" outlineLevel="0" collapsed="false">
      <c r="B13" s="20" t="s">
        <v>136</v>
      </c>
      <c r="C13" s="34" t="n">
        <f aca="false">Inputs!$D$23*Inputs!$C$35</f>
        <v>227345.2</v>
      </c>
    </row>
    <row r="14" customFormat="false" ht="15" hidden="false" customHeight="false" outlineLevel="0" collapsed="false">
      <c r="B14" s="20" t="s">
        <v>137</v>
      </c>
      <c r="C14" s="34" t="n">
        <f aca="false">'Regulatory Drag'!$C$13*Inputs!$C$38</f>
        <v>113672.6</v>
      </c>
    </row>
    <row r="15" customFormat="false" ht="15" hidden="false" customHeight="false" outlineLevel="0" collapsed="false">
      <c r="B15" s="26" t="s">
        <v>138</v>
      </c>
      <c r="C15" s="34" t="n">
        <f aca="false">'Regulatory Drag'!$C$14*Inputs!$C$39</f>
        <v>1136.726</v>
      </c>
    </row>
    <row r="17" customFormat="false" ht="15.75" hidden="false" customHeight="true" outlineLevel="0" collapsed="false">
      <c r="B17" s="24" t="s">
        <v>139</v>
      </c>
      <c r="C17" s="1"/>
      <c r="D17" s="1"/>
      <c r="E17" s="1"/>
      <c r="F17" s="1"/>
    </row>
    <row r="18" customFormat="false" ht="15" hidden="false" customHeight="false" outlineLevel="0" collapsed="false">
      <c r="B18" s="20" t="s">
        <v>140</v>
      </c>
      <c r="C18" s="28" t="n">
        <v>0.065</v>
      </c>
    </row>
    <row r="19" customFormat="false" ht="15" hidden="false" customHeight="false" outlineLevel="0" collapsed="false">
      <c r="B19" s="20" t="s">
        <v>141</v>
      </c>
      <c r="C19" s="28" t="n">
        <v>0.038</v>
      </c>
    </row>
    <row r="20" customFormat="false" ht="15" hidden="false" customHeight="false" outlineLevel="0" collapsed="false">
      <c r="B20" s="20" t="s">
        <v>142</v>
      </c>
      <c r="C20" s="28" t="n">
        <v>0.5</v>
      </c>
    </row>
    <row r="21" customFormat="false" ht="22.35" hidden="false" customHeight="false" outlineLevel="0" collapsed="false">
      <c r="B21" s="26" t="s">
        <v>143</v>
      </c>
      <c r="C21" s="34" t="n">
        <f aca="false">Inputs!$D$25*'Regulatory Drag'!$C$20*('Regulatory Drag'!$C$18-'Regulatory Drag'!$C$19)</f>
        <v>6237</v>
      </c>
      <c r="F21" s="30" t="s">
        <v>144</v>
      </c>
    </row>
    <row r="23" customFormat="false" ht="15.75" hidden="false" customHeight="true" outlineLevel="0" collapsed="false">
      <c r="B23" s="24" t="s">
        <v>145</v>
      </c>
      <c r="C23" s="1"/>
      <c r="D23" s="1"/>
      <c r="E23" s="1"/>
      <c r="F23" s="1"/>
    </row>
    <row r="24" customFormat="false" ht="15" hidden="false" customHeight="false" outlineLevel="0" collapsed="false">
      <c r="B24" s="20" t="s">
        <v>146</v>
      </c>
      <c r="C24" s="34" t="n">
        <f aca="false">'Regulatory Drag'!$C$10+'Regulatory Drag'!$C$15</f>
        <v>5341.301</v>
      </c>
    </row>
    <row r="25" customFormat="false" ht="15" hidden="false" customHeight="false" outlineLevel="0" collapsed="false">
      <c r="B25" s="26" t="s">
        <v>147</v>
      </c>
      <c r="C25" s="34" t="n">
        <f aca="false">'Regulatory Drag'!$C$21-'Regulatory Drag'!$C$24</f>
        <v>895.699</v>
      </c>
    </row>
    <row r="26" customFormat="false" ht="15" hidden="false" customHeight="false" outlineLevel="0" collapsed="false">
      <c r="B26" s="26" t="s">
        <v>148</v>
      </c>
      <c r="C26" s="44" t="n">
        <f aca="false">'Regulatory Drag'!$C$25*(1-Inputs!$C$40)</f>
        <v>671.77425</v>
      </c>
    </row>
    <row r="27" customFormat="false" ht="15" hidden="false" customHeight="false" outlineLevel="0" collapsed="false">
      <c r="B27" s="26" t="s">
        <v>149</v>
      </c>
      <c r="C27" s="34" t="n">
        <f aca="false">-'Regulatory Drag'!$C$24*(1-Inputs!$C$40)</f>
        <v>-4005.97575</v>
      </c>
    </row>
    <row r="28" customFormat="false" ht="15" hidden="false" customHeight="false" outlineLevel="0" collapsed="false">
      <c r="B28" s="20" t="s">
        <v>150</v>
      </c>
      <c r="C28" s="35" t="n">
        <f aca="false">-'Regulatory Drag'!$C$27/Inputs!$D$21</f>
        <v>0.291513298646485</v>
      </c>
    </row>
    <row r="29" customFormat="false" ht="51.75" hidden="false" customHeight="true" outlineLevel="0" collapsed="false">
      <c r="B29" s="19" t="s">
        <v>151</v>
      </c>
      <c r="C29" s="19"/>
      <c r="D29" s="19"/>
      <c r="E29" s="19"/>
      <c r="F29" s="19"/>
    </row>
  </sheetData>
  <mergeCells count="1">
    <mergeCell ref="B29:F29"/>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&amp;L&amp;"Arial,Bold"&amp;8HDFC Bank / HDFC Ltd — Capstone: Live-Deal Replication and Post-Mortem&amp;R&amp;"Arial,Regular"&amp;8Regulatory Drag</oddHeader>
    <oddFooter>&amp;L&amp;"Arial,Regular"&amp;8Jainam Mehta · github.com/jainammehta1215/ib-portfolio&amp;C&amp;"Arial,Regular"&amp;8Blue = input · Black = formula · Green = link&amp;R&amp;"Arial,Regular"&amp;8Page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6"/>
    <col collapsed="false" customWidth="true" hidden="false" outlineLevel="0" max="7" min="3" style="0" width="12.5"/>
    <col collapsed="false" customWidth="true" hidden="false" outlineLevel="0" max="8" min="8" style="0" width="50"/>
  </cols>
  <sheetData>
    <row r="1" customFormat="false" ht="30" hidden="false" customHeight="true" outlineLevel="0" collapsed="false">
      <c r="A1" s="1"/>
      <c r="B1" s="21" t="s">
        <v>36</v>
      </c>
      <c r="C1" s="1"/>
      <c r="D1" s="1"/>
      <c r="E1" s="1"/>
      <c r="F1" s="1"/>
      <c r="G1" s="1"/>
      <c r="H1" s="22" t="s">
        <v>37</v>
      </c>
    </row>
    <row r="2" customFormat="false" ht="18" hidden="false" customHeight="true" outlineLevel="0" collapsed="false">
      <c r="A2" s="1"/>
      <c r="B2" s="23" t="s">
        <v>152</v>
      </c>
      <c r="C2" s="1"/>
      <c r="D2" s="1"/>
      <c r="E2" s="1"/>
      <c r="F2" s="1"/>
      <c r="G2" s="1"/>
      <c r="H2" s="1"/>
    </row>
    <row r="4" customFormat="false" ht="15.75" hidden="false" customHeight="true" outlineLevel="0" collapsed="false">
      <c r="B4" s="24" t="s">
        <v>153</v>
      </c>
      <c r="C4" s="1"/>
      <c r="D4" s="1"/>
      <c r="E4" s="1"/>
      <c r="F4" s="1"/>
      <c r="G4" s="1"/>
      <c r="H4" s="1"/>
    </row>
    <row r="5" customFormat="false" ht="18" hidden="false" customHeight="true" outlineLevel="0" collapsed="false">
      <c r="B5" s="26"/>
      <c r="C5" s="33" t="s">
        <v>154</v>
      </c>
      <c r="D5" s="33" t="s">
        <v>155</v>
      </c>
      <c r="E5" s="33" t="s">
        <v>156</v>
      </c>
      <c r="F5" s="33" t="s">
        <v>157</v>
      </c>
    </row>
    <row r="6" customFormat="false" ht="15" hidden="false" customHeight="false" outlineLevel="0" collapsed="false">
      <c r="B6" s="26" t="s">
        <v>58</v>
      </c>
      <c r="C6" s="29" t="n">
        <v>44109</v>
      </c>
      <c r="D6" s="29" t="n">
        <v>60812</v>
      </c>
      <c r="E6" s="29" t="n">
        <v>67347</v>
      </c>
      <c r="F6" s="29" t="n">
        <v>70479</v>
      </c>
      <c r="H6" s="30" t="s">
        <v>158</v>
      </c>
    </row>
    <row r="7" customFormat="false" ht="22.35" hidden="false" customHeight="false" outlineLevel="0" collapsed="false">
      <c r="B7" s="20" t="s">
        <v>59</v>
      </c>
      <c r="C7" s="29" t="n">
        <v>280199</v>
      </c>
      <c r="D7" s="29" t="n">
        <v>437600</v>
      </c>
      <c r="E7" s="29" t="n">
        <v>498000</v>
      </c>
      <c r="F7" s="29" t="n">
        <v>550000</v>
      </c>
      <c r="H7" s="30" t="s">
        <v>159</v>
      </c>
    </row>
    <row r="8" customFormat="false" ht="15" hidden="false" customHeight="false" outlineLevel="0" collapsed="false">
      <c r="B8" s="20" t="s">
        <v>160</v>
      </c>
      <c r="C8" s="31" t="n">
        <v>557.97</v>
      </c>
      <c r="D8" s="31" t="n">
        <v>759.69</v>
      </c>
      <c r="E8" s="31" t="n">
        <v>765</v>
      </c>
      <c r="F8" s="31" t="n">
        <v>770.8</v>
      </c>
    </row>
    <row r="9" customFormat="false" ht="15" hidden="false" customHeight="false" outlineLevel="0" collapsed="false">
      <c r="B9" s="26" t="s">
        <v>161</v>
      </c>
      <c r="C9" s="27" t="n">
        <f aca="false">'Post-Mortem'!$C$6/'Post-Mortem'!$C$8</f>
        <v>79.0526372385612</v>
      </c>
      <c r="D9" s="27" t="n">
        <f aca="false">'Post-Mortem'!$D$6/'Post-Mortem'!$D$8</f>
        <v>80.0484408113836</v>
      </c>
      <c r="E9" s="27" t="n">
        <f aca="false">'Post-Mortem'!$E$6/'Post-Mortem'!$E$8</f>
        <v>88.0352941176471</v>
      </c>
      <c r="F9" s="27" t="n">
        <f aca="false">'Post-Mortem'!$F$6/'Post-Mortem'!$F$8</f>
        <v>91.436170212766</v>
      </c>
    </row>
    <row r="10" customFormat="false" ht="15" hidden="false" customHeight="false" outlineLevel="0" collapsed="false">
      <c r="B10" s="26" t="s">
        <v>64</v>
      </c>
      <c r="C10" s="27" t="n">
        <f aca="false">'Post-Mortem'!$C$7/'Post-Mortem'!$C$8</f>
        <v>502.175744215639</v>
      </c>
      <c r="D10" s="27" t="n">
        <f aca="false">'Post-Mortem'!$D$7/'Post-Mortem'!$D$8</f>
        <v>576.024431017915</v>
      </c>
      <c r="E10" s="27" t="n">
        <f aca="false">'Post-Mortem'!$E$7/'Post-Mortem'!$E$8</f>
        <v>650.980392156863</v>
      </c>
      <c r="F10" s="27" t="n">
        <f aca="false">'Post-Mortem'!$F$7/'Post-Mortem'!$F$8</f>
        <v>713.544369486248</v>
      </c>
    </row>
    <row r="11" customFormat="false" ht="15" hidden="false" customHeight="false" outlineLevel="0" collapsed="false">
      <c r="B11" s="26" t="s">
        <v>65</v>
      </c>
      <c r="C11" s="35" t="n">
        <f aca="false">'Post-Mortem'!$C$6/'Post-Mortem'!$C$7</f>
        <v>0.157420262028059</v>
      </c>
      <c r="D11" s="35" t="n">
        <f aca="false">'Post-Mortem'!$D$6/'Post-Mortem'!$D$7</f>
        <v>0.138967093235832</v>
      </c>
      <c r="E11" s="35" t="n">
        <f aca="false">'Post-Mortem'!$E$6/'Post-Mortem'!$E$7</f>
        <v>0.135234939759036</v>
      </c>
      <c r="F11" s="35" t="n">
        <f aca="false">'Post-Mortem'!$F$6/'Post-Mortem'!$F$7</f>
        <v>0.128143636363636</v>
      </c>
    </row>
    <row r="12" customFormat="false" ht="15" hidden="false" customHeight="false" outlineLevel="0" collapsed="false">
      <c r="B12" s="20" t="s">
        <v>162</v>
      </c>
      <c r="C12" s="31" t="n">
        <v>19</v>
      </c>
      <c r="D12" s="31" t="n">
        <v>19.5</v>
      </c>
      <c r="E12" s="31" t="n">
        <v>22</v>
      </c>
      <c r="F12" s="31" t="n">
        <v>24</v>
      </c>
    </row>
    <row r="13" customFormat="false" ht="15" hidden="false" customHeight="false" outlineLevel="0" collapsed="false">
      <c r="B13" s="20" t="s">
        <v>163</v>
      </c>
      <c r="C13" s="28"/>
      <c r="D13" s="35" t="n">
        <f aca="false">'Post-Mortem'!$D$9/'Post-Mortem'!$C$9-1</f>
        <v>0.0125967153988462</v>
      </c>
      <c r="E13" s="35" t="n">
        <f aca="false">'Post-Mortem'!$E$9/'Post-Mortem'!$D$9-1</f>
        <v>0.0997752514016197</v>
      </c>
      <c r="F13" s="35" t="n">
        <f aca="false">'Post-Mortem'!$F$9/'Post-Mortem'!$E$9-1</f>
        <v>0.0386308256160775</v>
      </c>
    </row>
    <row r="15" customFormat="false" ht="15.75" hidden="false" customHeight="true" outlineLevel="0" collapsed="false">
      <c r="B15" s="24" t="s">
        <v>164</v>
      </c>
      <c r="C15" s="1"/>
      <c r="D15" s="1"/>
      <c r="E15" s="1"/>
      <c r="F15" s="1"/>
      <c r="G15" s="1"/>
      <c r="H15" s="1"/>
    </row>
    <row r="16" customFormat="false" ht="15" hidden="false" customHeight="false" outlineLevel="0" collapsed="false">
      <c r="B16" s="20" t="s">
        <v>165</v>
      </c>
      <c r="C16" s="45" t="n">
        <f aca="false">Accretion!$C$18</f>
        <v>0.12964064918563</v>
      </c>
    </row>
    <row r="17" customFormat="false" ht="15" hidden="false" customHeight="false" outlineLevel="0" collapsed="false">
      <c r="B17" s="26" t="s">
        <v>166</v>
      </c>
      <c r="C17" s="45" t="n">
        <f aca="false">'Post-Mortem'!$F$11</f>
        <v>0.128143636363636</v>
      </c>
    </row>
    <row r="18" customFormat="false" ht="15" hidden="false" customHeight="false" outlineLevel="0" collapsed="false">
      <c r="B18" s="20" t="s">
        <v>167</v>
      </c>
      <c r="C18" s="45" t="n">
        <f aca="false">'Post-Mortem'!$C$11</f>
        <v>0.157420262028059</v>
      </c>
    </row>
    <row r="19" customFormat="false" ht="15" hidden="false" customHeight="false" outlineLevel="0" collapsed="false">
      <c r="B19" s="26" t="s">
        <v>168</v>
      </c>
      <c r="C19" s="35" t="n">
        <f aca="false">'Post-Mortem'!$F$11-'Post-Mortem'!$C$11</f>
        <v>-0.0292766256644222</v>
      </c>
    </row>
    <row r="20" customFormat="false" ht="15" hidden="false" customHeight="false" outlineLevel="0" collapsed="false">
      <c r="B20" s="26" t="s">
        <v>169</v>
      </c>
      <c r="C20" s="35" t="n">
        <f aca="false">('Post-Mortem'!$F$9/'Post-Mortem'!$C$9)^(1/3)-1</f>
        <v>0.0497048928791592</v>
      </c>
    </row>
    <row r="21" customFormat="false" ht="15" hidden="false" customHeight="false" outlineLevel="0" collapsed="false">
      <c r="B21" s="20" t="s">
        <v>170</v>
      </c>
      <c r="C21" s="35" t="n">
        <f aca="false">('Post-Mortem'!$F$10/'Post-Mortem'!$C$10)^(1/3)-1</f>
        <v>0.124229776482699</v>
      </c>
    </row>
    <row r="23" customFormat="false" ht="15.75" hidden="false" customHeight="true" outlineLevel="0" collapsed="false">
      <c r="B23" s="24" t="s">
        <v>171</v>
      </c>
      <c r="C23" s="1"/>
      <c r="D23" s="1"/>
      <c r="E23" s="1"/>
      <c r="F23" s="1"/>
      <c r="G23" s="1"/>
      <c r="H23" s="1"/>
    </row>
    <row r="24" customFormat="false" ht="18" hidden="false" customHeight="true" outlineLevel="0" collapsed="false">
      <c r="B24" s="26" t="s">
        <v>172</v>
      </c>
      <c r="C24" s="33" t="s">
        <v>173</v>
      </c>
      <c r="D24" s="33" t="s">
        <v>174</v>
      </c>
      <c r="E24" s="33" t="s">
        <v>175</v>
      </c>
      <c r="F24" s="33" t="s">
        <v>176</v>
      </c>
    </row>
    <row r="25" customFormat="false" ht="15" hidden="false" customHeight="false" outlineLevel="0" collapsed="false">
      <c r="B25" s="26" t="s">
        <v>177</v>
      </c>
      <c r="C25" s="31" t="n">
        <v>1506.55</v>
      </c>
      <c r="D25" s="31" t="n">
        <v>1656.8</v>
      </c>
      <c r="E25" s="31" t="n">
        <v>1701.4</v>
      </c>
      <c r="F25" s="31" t="n">
        <v>1463.8</v>
      </c>
    </row>
    <row r="26" customFormat="false" ht="22.35" hidden="false" customHeight="false" outlineLevel="0" collapsed="false">
      <c r="B26" s="20" t="s">
        <v>178</v>
      </c>
      <c r="C26" s="29" t="n">
        <v>37148</v>
      </c>
      <c r="D26" s="29" t="n">
        <v>38000</v>
      </c>
      <c r="E26" s="29" t="n">
        <v>44700</v>
      </c>
      <c r="F26" s="29" t="n">
        <v>56056</v>
      </c>
      <c r="H26" s="30" t="s">
        <v>179</v>
      </c>
    </row>
    <row r="27" customFormat="false" ht="15" hidden="false" customHeight="false" outlineLevel="0" collapsed="false">
      <c r="B27" s="26" t="s">
        <v>180</v>
      </c>
      <c r="C27" s="35" t="n">
        <f aca="false">'Post-Mortem'!$F$25/'Post-Mortem'!$C$25-1</f>
        <v>-0.0283760910689987</v>
      </c>
    </row>
    <row r="28" customFormat="false" ht="15" hidden="false" customHeight="false" outlineLevel="0" collapsed="false">
      <c r="B28" s="20" t="s">
        <v>181</v>
      </c>
      <c r="C28" s="27" t="n">
        <f aca="false">15.5+'Post-Mortem'!$C$12+'Post-Mortem'!$D$12+'Post-Mortem'!$E$12+'Post-Mortem'!$F$12</f>
        <v>100</v>
      </c>
      <c r="H28" s="30" t="s">
        <v>182</v>
      </c>
    </row>
    <row r="29" customFormat="false" ht="15" hidden="false" customHeight="false" outlineLevel="0" collapsed="false">
      <c r="B29" s="26" t="s">
        <v>183</v>
      </c>
      <c r="C29" s="35" t="n">
        <f aca="false">('Post-Mortem'!$F$25+'Post-Mortem'!$C$28)/'Post-Mortem'!$C$25-1</f>
        <v>0.0380007301450334</v>
      </c>
    </row>
    <row r="30" customFormat="false" ht="15" hidden="false" customHeight="false" outlineLevel="0" collapsed="false">
      <c r="B30" s="26" t="s">
        <v>184</v>
      </c>
      <c r="C30" s="35" t="n">
        <f aca="false">'Post-Mortem'!$F$26/'Post-Mortem'!$C$26-1</f>
        <v>0.508991062775923</v>
      </c>
    </row>
    <row r="31" customFormat="false" ht="15" hidden="false" customHeight="false" outlineLevel="0" collapsed="false">
      <c r="B31" s="26" t="s">
        <v>185</v>
      </c>
      <c r="C31" s="40" t="n">
        <f aca="false">'Post-Mortem'!$C$27-'Post-Mortem'!$C$30</f>
        <v>-0.537367153844922</v>
      </c>
    </row>
    <row r="32" customFormat="false" ht="15" hidden="false" customHeight="false" outlineLevel="0" collapsed="false">
      <c r="B32" s="26" t="s">
        <v>186</v>
      </c>
      <c r="C32" s="36" t="n">
        <f aca="false">'Post-Mortem'!$F$25/'Post-Mortem'!$F$10</f>
        <v>2.05144916363636</v>
      </c>
    </row>
    <row r="33" customFormat="false" ht="15" hidden="false" customHeight="false" outlineLevel="0" collapsed="false">
      <c r="B33" s="20" t="s">
        <v>187</v>
      </c>
      <c r="C33" s="42" t="n">
        <f aca="false">Inputs!$C$29</f>
        <v>3.47972370081593</v>
      </c>
    </row>
    <row r="34" customFormat="false" ht="15" hidden="false" customHeight="false" outlineLevel="0" collapsed="false">
      <c r="B34" s="26" t="s">
        <v>188</v>
      </c>
      <c r="C34" s="35" t="n">
        <f aca="false">'Post-Mortem'!$C$32/'Post-Mortem'!$C$33-1</f>
        <v>-0.410456306299453</v>
      </c>
    </row>
    <row r="35" customFormat="false" ht="15" hidden="false" customHeight="false" outlineLevel="0" collapsed="false">
      <c r="B35" s="20" t="s">
        <v>189</v>
      </c>
      <c r="C35" s="35" t="n">
        <f aca="false">'Post-Mortem'!$F$6/AVERAGE('Post-Mortem'!$E$7,'Post-Mortem'!$F$7)</f>
        <v>0.134501908396947</v>
      </c>
    </row>
    <row r="36" customFormat="false" ht="32.8" hidden="false" customHeight="false" outlineLevel="0" collapsed="false">
      <c r="B36" s="26" t="s">
        <v>190</v>
      </c>
      <c r="C36" s="35" t="n">
        <f aca="false">0.07+('Post-Mortem'!$C$35-0.07)/'Post-Mortem'!$C$32</f>
        <v>0.101442118839841</v>
      </c>
      <c r="H36" s="30" t="s">
        <v>191</v>
      </c>
    </row>
    <row r="37" customFormat="false" ht="15" hidden="false" customHeight="false" outlineLevel="0" collapsed="false">
      <c r="B37" s="20" t="s">
        <v>192</v>
      </c>
      <c r="C37" s="35" t="n">
        <f aca="false">0.07+(Inputs!$C$28-0.07)/Inputs!$C$29</f>
        <v>0.0941239018914435</v>
      </c>
    </row>
    <row r="38" customFormat="false" ht="55.5" hidden="false" customHeight="true" outlineLevel="0" collapsed="false">
      <c r="B38" s="19" t="s">
        <v>193</v>
      </c>
      <c r="C38" s="19"/>
      <c r="D38" s="19"/>
      <c r="E38" s="19"/>
      <c r="F38" s="19"/>
      <c r="G38" s="19"/>
      <c r="H38" s="19"/>
    </row>
  </sheetData>
  <mergeCells count="1">
    <mergeCell ref="B38:H38"/>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&amp;L&amp;"Arial,Bold"&amp;8HDFC Bank / HDFC Ltd — Capstone: Live-Deal Replication and Post-Mortem&amp;R&amp;"Arial,Regular"&amp;8Post-Mortem</oddHeader>
    <oddFooter>&amp;L&amp;"Arial,Regular"&amp;8Jainam Mehta · github.com/jainammehta1215/ib-portfolio&amp;C&amp;"Arial,Regular"&amp;8Blue = input · Black = formula · Green = link&amp;R&amp;"Arial,Regular"&amp;8Page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4"/>
    <col collapsed="false" customWidth="true" hidden="false" outlineLevel="0" max="5" min="3" style="0" width="15"/>
    <col collapsed="false" customWidth="true" hidden="false" outlineLevel="0" max="6" min="6" style="0" width="56"/>
  </cols>
  <sheetData>
    <row r="1" customFormat="false" ht="30" hidden="false" customHeight="true" outlineLevel="0" collapsed="false">
      <c r="A1" s="1"/>
      <c r="B1" s="21" t="s">
        <v>36</v>
      </c>
      <c r="C1" s="1"/>
      <c r="D1" s="1"/>
      <c r="E1" s="1"/>
      <c r="F1" s="22" t="s">
        <v>37</v>
      </c>
    </row>
    <row r="2" customFormat="false" ht="18" hidden="false" customHeight="true" outlineLevel="0" collapsed="false">
      <c r="A2" s="1"/>
      <c r="B2" s="23" t="s">
        <v>194</v>
      </c>
      <c r="C2" s="1"/>
      <c r="D2" s="1"/>
      <c r="E2" s="1"/>
      <c r="F2" s="1"/>
    </row>
    <row r="4" customFormat="false" ht="15.75" hidden="false" customHeight="true" outlineLevel="0" collapsed="false">
      <c r="B4" s="24" t="s">
        <v>195</v>
      </c>
      <c r="C4" s="1"/>
      <c r="D4" s="1"/>
      <c r="E4" s="1"/>
      <c r="F4" s="1"/>
    </row>
    <row r="5" customFormat="false" ht="15" hidden="false" customHeight="false" outlineLevel="0" collapsed="false">
      <c r="B5" s="26" t="s">
        <v>196</v>
      </c>
      <c r="C5" s="46" t="str">
        <f aca="false">TEXT(Inputs!$C$7,"0.00")&amp;"x · "&amp;TEXT('Exchange Ratio'!$C$15,"0.0%")</f>
        <v>1.68x · 3.3%</v>
      </c>
    </row>
    <row r="6" customFormat="false" ht="15" hidden="false" customHeight="false" outlineLevel="0" collapsed="false">
      <c r="B6" s="20" t="s">
        <v>98</v>
      </c>
      <c r="C6" s="45" t="n">
        <f aca="false">'Exchange Ratio'!$C$20</f>
        <v>0.410128891350194</v>
      </c>
    </row>
    <row r="7" customFormat="false" ht="15" hidden="false" customHeight="false" outlineLevel="0" collapsed="false">
      <c r="B7" s="20" t="s">
        <v>197</v>
      </c>
      <c r="C7" s="46" t="str">
        <f aca="false">TEXT('Exchange Ratio'!$E$6,"0.0%")&amp;" / "&amp;TEXT('Exchange Ratio'!$E$7,"0.0%")</f>
        <v>42.4% / 47.4%</v>
      </c>
    </row>
    <row r="8" customFormat="false" ht="15" hidden="false" customHeight="false" outlineLevel="0" collapsed="false">
      <c r="B8" s="26" t="s">
        <v>198</v>
      </c>
      <c r="C8" s="46" t="str">
        <f aca="false">TEXT(Accretion!$C$7,"0.0%")&amp;" / "&amp;TEXT(Accretion!$C$17,"0.0%")</f>
        <v>-1.2% / -9.3%</v>
      </c>
    </row>
    <row r="9" customFormat="false" ht="15" hidden="false" customHeight="false" outlineLevel="0" collapsed="false">
      <c r="B9" s="20" t="s">
        <v>199</v>
      </c>
      <c r="C9" s="45" t="n">
        <f aca="false">Accretion!$C$10</f>
        <v>0.0769063670488799</v>
      </c>
    </row>
    <row r="10" customFormat="false" ht="15" hidden="false" customHeight="false" outlineLevel="0" collapsed="false">
      <c r="B10" s="26" t="s">
        <v>200</v>
      </c>
      <c r="C10" s="46" t="str">
        <f aca="false">TEXT(Inputs!$C$28,"0.0%")&amp;" → "&amp;TEXT(Accretion!$C$18,"0.0%")</f>
        <v>15.4% → 13.0%</v>
      </c>
    </row>
    <row r="11" customFormat="false" ht="15" hidden="false" customHeight="false" outlineLevel="0" collapsed="false">
      <c r="B11" s="20" t="s">
        <v>201</v>
      </c>
      <c r="C11" s="37" t="n">
        <f aca="false">'Regulatory Drag'!$C$8</f>
        <v>140152.5</v>
      </c>
    </row>
    <row r="12" customFormat="false" ht="15" hidden="false" customHeight="false" outlineLevel="0" collapsed="false">
      <c r="B12" s="20" t="s">
        <v>202</v>
      </c>
      <c r="C12" s="45" t="n">
        <f aca="false">'Regulatory Drag'!$C$28</f>
        <v>0.291513298646485</v>
      </c>
    </row>
    <row r="14" customFormat="false" ht="15.75" hidden="false" customHeight="true" outlineLevel="0" collapsed="false">
      <c r="B14" s="24" t="s">
        <v>203</v>
      </c>
      <c r="C14" s="1"/>
      <c r="D14" s="1"/>
      <c r="E14" s="1"/>
      <c r="F14" s="1"/>
    </row>
    <row r="15" customFormat="false" ht="15" hidden="false" customHeight="false" outlineLevel="0" collapsed="false">
      <c r="B15" s="26" t="s">
        <v>204</v>
      </c>
      <c r="C15" s="46" t="str">
        <f aca="false">TEXT('Post-Mortem'!$F$11,"0.0%")&amp;" · "&amp;TEXT('Post-Mortem'!$C$19,"0.0%")</f>
        <v>12.8% · -2.9%</v>
      </c>
    </row>
    <row r="16" customFormat="false" ht="15" hidden="false" customHeight="false" outlineLevel="0" collapsed="false">
      <c r="B16" s="20" t="s">
        <v>205</v>
      </c>
      <c r="C16" s="46" t="str">
        <f aca="false">TEXT('Post-Mortem'!$C$20,"0.0%")&amp;" / "&amp;TEXT('Post-Mortem'!$C$21,"0.0%")</f>
        <v>5.0% / 12.4%</v>
      </c>
    </row>
    <row r="17" customFormat="false" ht="15" hidden="false" customHeight="false" outlineLevel="0" collapsed="false">
      <c r="B17" s="26" t="s">
        <v>206</v>
      </c>
      <c r="C17" s="45" t="n">
        <f aca="false">'Post-Mortem'!$C$29</f>
        <v>0.0380007301450334</v>
      </c>
    </row>
    <row r="18" customFormat="false" ht="15" hidden="false" customHeight="false" outlineLevel="0" collapsed="false">
      <c r="B18" s="20" t="s">
        <v>207</v>
      </c>
      <c r="C18" s="45" t="n">
        <f aca="false">'Post-Mortem'!$C$30</f>
        <v>0.508991062775923</v>
      </c>
    </row>
    <row r="19" customFormat="false" ht="15" hidden="false" customHeight="false" outlineLevel="0" collapsed="false">
      <c r="B19" s="26" t="s">
        <v>208</v>
      </c>
      <c r="C19" s="47" t="n">
        <f aca="false">'Post-Mortem'!$C$31</f>
        <v>-0.537367153844922</v>
      </c>
    </row>
    <row r="20" customFormat="false" ht="15" hidden="false" customHeight="false" outlineLevel="0" collapsed="false">
      <c r="B20" s="26" t="s">
        <v>209</v>
      </c>
      <c r="C20" s="46" t="str">
        <f aca="false">TEXT('Post-Mortem'!$C$33,"0.00")&amp;"x → "&amp;TEXT('Post-Mortem'!$C$32,"0.00")&amp;"x"</f>
        <v>3.48x → 2.05x</v>
      </c>
    </row>
    <row r="22" customFormat="false" ht="75" hidden="false" customHeight="true" outlineLevel="0" collapsed="false">
      <c r="B22" s="19" t="s">
        <v>210</v>
      </c>
      <c r="C22" s="19"/>
      <c r="D22" s="19"/>
      <c r="E22" s="19"/>
      <c r="F22" s="19"/>
    </row>
    <row r="23" customFormat="false" ht="60" hidden="false" customHeight="true" outlineLevel="0" collapsed="false">
      <c r="B23" s="19" t="s">
        <v>211</v>
      </c>
      <c r="C23" s="19"/>
      <c r="D23" s="19"/>
      <c r="E23" s="19"/>
      <c r="F23" s="19"/>
    </row>
    <row r="24" customFormat="false" ht="75" hidden="false" customHeight="true" outlineLevel="0" collapsed="false">
      <c r="B24" s="19" t="s">
        <v>212</v>
      </c>
      <c r="C24" s="19"/>
      <c r="D24" s="19"/>
      <c r="E24" s="19"/>
      <c r="F24" s="19"/>
    </row>
    <row r="25" customFormat="false" ht="60" hidden="false" customHeight="true" outlineLevel="0" collapsed="false">
      <c r="B25" s="19" t="s">
        <v>213</v>
      </c>
      <c r="C25" s="19"/>
      <c r="D25" s="19"/>
      <c r="E25" s="19"/>
      <c r="F25" s="19"/>
    </row>
  </sheetData>
  <mergeCells count="4">
    <mergeCell ref="B22:F22"/>
    <mergeCell ref="B23:F23"/>
    <mergeCell ref="B24:F24"/>
    <mergeCell ref="B25:F25"/>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&amp;L&amp;"Arial,Bold"&amp;8HDFC Bank / HDFC Ltd — Capstone: Live-Deal Replication and Post-Mortem&amp;R&amp;"Arial,Regular"&amp;8Summary</oddHeader>
    <oddFooter>&amp;L&amp;"Arial,Regular"&amp;8Jainam Mehta · github.com/jainammehta1215/ib-portfolio&amp;C&amp;"Arial,Regular"&amp;8Blue = input · Black = formula · Green = link&amp;R&amp;"Arial,Regular"&amp;8Page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74"/>
    <col collapsed="false" customWidth="true" hidden="false" outlineLevel="0" max="5" min="3" style="0" width="16"/>
  </cols>
  <sheetData>
    <row r="1" customFormat="false" ht="30" hidden="false" customHeight="true" outlineLevel="0" collapsed="false">
      <c r="A1" s="1"/>
      <c r="B1" s="21" t="s">
        <v>36</v>
      </c>
      <c r="C1" s="1"/>
      <c r="D1" s="1"/>
      <c r="E1" s="22" t="s">
        <v>37</v>
      </c>
    </row>
    <row r="2" customFormat="false" ht="18" hidden="false" customHeight="true" outlineLevel="0" collapsed="false">
      <c r="A2" s="1"/>
      <c r="B2" s="23" t="s">
        <v>214</v>
      </c>
      <c r="C2" s="1"/>
      <c r="D2" s="1"/>
      <c r="E2" s="1"/>
    </row>
    <row r="4" customFormat="false" ht="15.75" hidden="false" customHeight="true" outlineLevel="0" collapsed="false">
      <c r="B4" s="24" t="s">
        <v>215</v>
      </c>
      <c r="C4" s="1"/>
      <c r="D4" s="1"/>
      <c r="E4" s="1"/>
    </row>
    <row r="5" customFormat="false" ht="15" hidden="false" customHeight="false" outlineLevel="0" collapsed="false">
      <c r="B5" s="20" t="s">
        <v>216</v>
      </c>
      <c r="C5" s="48" t="b">
        <f aca="false">ABS(Inputs!$C$7-1.68)&lt;0.0001</f>
        <v>1</v>
      </c>
    </row>
    <row r="6" customFormat="false" ht="15" hidden="false" customHeight="false" outlineLevel="0" collapsed="false">
      <c r="B6" s="20" t="s">
        <v>217</v>
      </c>
      <c r="C6" s="48" t="b">
        <f aca="false">ABS('Exchange Ratio'!$C$20-0.41)&lt;0.01</f>
        <v>1</v>
      </c>
    </row>
    <row r="7" customFormat="false" ht="15" hidden="false" customHeight="false" outlineLevel="0" collapsed="false">
      <c r="B7" s="20" t="s">
        <v>218</v>
      </c>
      <c r="C7" s="48" t="b">
        <f aca="false">AND(MIN('Exchange Ratio'!$E$6,'Exchange Ratio'!$E$7,'Exchange Ratio'!$E$8,'Exchange Ratio'!$E$9)&gt;0,MAX('Exchange Ratio'!$E$6,'Exchange Ratio'!$E$7,'Exchange Ratio'!$E$8,'Exchange Ratio'!$E$9)&lt;1)</f>
        <v>1</v>
      </c>
    </row>
    <row r="8" customFormat="false" ht="15" hidden="false" customHeight="false" outlineLevel="0" collapsed="false">
      <c r="B8" s="20" t="s">
        <v>219</v>
      </c>
      <c r="C8" s="48" t="b">
        <f aca="false">ABS('Exchange Ratio'!$F$9/Inputs!$C$7-1)&lt;0.15</f>
        <v>1</v>
      </c>
    </row>
    <row r="9" customFormat="false" ht="15" hidden="false" customHeight="false" outlineLevel="0" collapsed="false">
      <c r="B9" s="20" t="s">
        <v>220</v>
      </c>
      <c r="C9" s="48" t="b">
        <f aca="false">AND('Exchange Ratio'!$C$20&lt;'Exchange Ratio'!$E$6,'Exchange Ratio'!$C$20&lt;'Exchange Ratio'!$E$7,ABS('Exchange Ratio'!$C$20-'Exchange Ratio'!$E$9)&lt;0.02)</f>
        <v>1</v>
      </c>
    </row>
    <row r="10" customFormat="false" ht="15" hidden="false" customHeight="false" outlineLevel="0" collapsed="false">
      <c r="B10" s="20" t="s">
        <v>221</v>
      </c>
      <c r="C10" s="48" t="b">
        <f aca="false">Accretion!$C$11&lt;Inputs!$C$28</f>
        <v>1</v>
      </c>
    </row>
    <row r="11" customFormat="false" ht="15" hidden="false" customHeight="false" outlineLevel="0" collapsed="false">
      <c r="B11" s="20" t="s">
        <v>222</v>
      </c>
      <c r="C11" s="48" t="b">
        <f aca="false">AND(Accretion!$C$10&gt;0,ABS(Accretion!$C$7)&lt;0.03)</f>
        <v>1</v>
      </c>
    </row>
    <row r="12" customFormat="false" ht="15" hidden="false" customHeight="false" outlineLevel="0" collapsed="false">
      <c r="B12" s="20" t="s">
        <v>223</v>
      </c>
      <c r="C12" s="48" t="b">
        <f aca="false">AND('Regulatory Drag'!$C$28&gt;0.1,'Regulatory Drag'!$C$28&lt;0.4)</f>
        <v>1</v>
      </c>
    </row>
    <row r="13" customFormat="false" ht="15" hidden="false" customHeight="false" outlineLevel="0" collapsed="false">
      <c r="B13" s="20" t="s">
        <v>224</v>
      </c>
      <c r="C13" s="48" t="b">
        <f aca="false">'Regulatory Drag'!$C$21&gt;'Regulatory Drag'!$C$24</f>
        <v>1</v>
      </c>
    </row>
    <row r="14" customFormat="false" ht="15" hidden="false" customHeight="false" outlineLevel="0" collapsed="false">
      <c r="B14" s="20" t="s">
        <v>225</v>
      </c>
      <c r="C14" s="48" t="b">
        <f aca="false">ABS(Accretion!$C$15-(Accretion!$C$5+'Regulatory Drag'!$C$27))&lt;0.01</f>
        <v>1</v>
      </c>
    </row>
    <row r="15" customFormat="false" ht="15" hidden="false" customHeight="false" outlineLevel="0" collapsed="false">
      <c r="B15" s="20" t="s">
        <v>226</v>
      </c>
      <c r="C15" s="48" t="b">
        <f aca="false">ABS('Post-Mortem'!$D$8/'Exchange Ratio'!$C$19-1)&lt;0.03</f>
        <v>1</v>
      </c>
    </row>
    <row r="16" customFormat="false" ht="15" hidden="false" customHeight="false" outlineLevel="0" collapsed="false">
      <c r="B16" s="20" t="s">
        <v>227</v>
      </c>
      <c r="C16" s="48" t="b">
        <f aca="false">'Post-Mortem'!$F$11&lt;'Post-Mortem'!$C$11</f>
        <v>1</v>
      </c>
    </row>
    <row r="17" customFormat="false" ht="15" hidden="false" customHeight="false" outlineLevel="0" collapsed="false">
      <c r="B17" s="20" t="s">
        <v>228</v>
      </c>
      <c r="C17" s="48" t="b">
        <f aca="false">'Post-Mortem'!$C$31&lt;0</f>
        <v>1</v>
      </c>
    </row>
    <row r="18" customFormat="false" ht="15" hidden="false" customHeight="false" outlineLevel="0" collapsed="false">
      <c r="B18" s="20" t="s">
        <v>229</v>
      </c>
      <c r="C18" s="48" t="b">
        <f aca="false">AND('Post-Mortem'!$D$10&gt;'Post-Mortem'!$C$10,'Post-Mortem'!$E$10&gt;'Post-Mortem'!$D$10,'Post-Mortem'!$F$10&gt;'Post-Mortem'!$E$10)</f>
        <v>1</v>
      </c>
    </row>
    <row r="19" customFormat="false" ht="15" hidden="false" customHeight="false" outlineLevel="0" collapsed="false">
      <c r="B19" s="20" t="s">
        <v>230</v>
      </c>
      <c r="C19" s="48" t="b">
        <f aca="false">AND('Post-Mortem'!$C$36&gt;0.09,'Post-Mortem'!$C$36&lt;0.13,ABS('Post-Mortem'!$C$36-'Post-Mortem'!$C$37)&lt;0.02)</f>
        <v>1</v>
      </c>
    </row>
    <row r="21" customFormat="false" ht="15" hidden="false" customHeight="false" outlineLevel="0" collapsed="false">
      <c r="B21" s="49" t="s">
        <v>231</v>
      </c>
      <c r="C21" s="50" t="str">
        <f aca="false">IF(COUNTIF(C5:C19,FALSE())=0,"MODEL OK","CHECK FAILED")</f>
        <v>MODEL OK</v>
      </c>
    </row>
    <row r="23" customFormat="false" ht="33.75" hidden="false" customHeight="true" outlineLevel="0" collapsed="false">
      <c r="B23" s="19" t="s">
        <v>232</v>
      </c>
      <c r="C23" s="19"/>
      <c r="D23" s="19"/>
      <c r="E23" s="19"/>
    </row>
  </sheetData>
  <mergeCells count="1">
    <mergeCell ref="B23:E23"/>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&amp;L&amp;"Arial,Bold"&amp;8HDFC Bank / HDFC Ltd — Capstone: Live-Deal Replication and Post-Mortem&amp;R&amp;"Arial,Regular"&amp;8Checks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2026-09-18T09:26:32Z</dcterms:created>
  <dc:creator>openpyxl</dc:creator>
  <dc:description/>
  <dc:language>en-US</dc:language>
  <cp:lastModifiedBy/>
  <dcterms:modified xsi:type="dcterms:W3CDTF">2026-09-18T09:26:32Z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