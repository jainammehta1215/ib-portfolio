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Fiscal Terms" sheetId="3" state="visible" r:id="rId5"/>
    <sheet name="NAV" sheetId="4" state="visible" r:id="rId6"/>
    <sheet name="Price Deck" sheetId="5" state="visible" r:id="rId7"/>
    <sheet name="Sensitivity" sheetId="6" state="visible" r:id="rId8"/>
    <sheet name="Summary" sheetId="7" state="visible" r:id="rId9"/>
    <sheet name="Checks" sheetId="8" state="visible" r:id="rId10"/>
  </sheets>
  <definedNames>
    <definedName function="false" hidden="false" localSheetId="7" name="_xlnm.Print_Area" vbProcedure="false">Checks!$A$1:$E$23</definedName>
    <definedName function="false" hidden="false" localSheetId="0" name="_xlnm.Print_Area" vbProcedure="false">Cover!$A$1:$F$45</definedName>
    <definedName function="false" hidden="false" localSheetId="2" name="_xlnm.Print_Area" vbProcedure="false">'Fiscal Terms'!$A$1:$F$20</definedName>
    <definedName function="false" hidden="false" localSheetId="1" name="_xlnm.Print_Area" vbProcedure="false">Inputs!$A$1:$F$47</definedName>
    <definedName function="false" hidden="false" localSheetId="3" name="_xlnm.Print_Area" vbProcedure="false">NAV!$A$1:$F$35</definedName>
    <definedName function="false" hidden="false" localSheetId="4" name="_xlnm.Print_Area" vbProcedure="false">'Price Deck'!$A$1:$I$24</definedName>
    <definedName function="false" hidden="false" localSheetId="5" name="_xlnm.Print_Area" vbProcedure="false">Sensitivity!$A$1:$H$18</definedName>
    <definedName function="false" hidden="false" localSheetId="6" name="_xlnm.Print_Area" vbProcedure="false">Summary!$A$1:$F$31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<sst xmlns="http://schemas.openxmlformats.org/spreadsheetml/2006/main" count="236" uniqueCount="211">
  <si>
    <t xml:space="preserve">IB PORTFOLIO · PROJECT 12 OF 20</t>
  </si>
  <si>
    <t xml:space="preserve">Saudi Aramco</t>
  </si>
  <si>
    <t xml:space="preserve">Energy NAV and Price-Deck Sensitivity</t>
  </si>
  <si>
    <t xml:space="preserve">Tadawul: 2222   ·   US$ billions · per-share values in SAR   ·   as of FY2025 annual report · market data 18 Sep 2026</t>
  </si>
  <si>
    <t xml:space="preserve">What this is</t>
  </si>
  <si>
    <t xml:space="preserve">A reserves-based net asset value of Saudi Aramco on the FY2025 annual report and 18 September 2026 market data, built under the Kingdom's fiscal terms — the sliding crude royalty and the 50% upstream income tax — with the whole company run across a Brent price deck to find the oil price the share price implies and the price at which the base dividend stops being covered.</t>
  </si>
  <si>
    <t xml:space="preserve">How it is built</t>
  </si>
  <si>
    <t xml:space="preserve">•  A per-boe netback: blended realisation, the published royalty schedule applied to crude, cash costs, sustaining capex and tax; multiplied by annual production and capitalised over the 52-year reserve life as an annuity.</t>
  </si>
  <si>
    <t xml:space="preserve">•  Downstream at a multiple of adjusted EBIT plus depreciation; corporate costs capitalised; net debt and minorities deducted.</t>
  </si>
  <si>
    <t xml:space="preserve">•  A price deck from US$50 to US$110 with group free cash flow and dividend cover at each level, and closed-form solves for the dividend break-even and the price-implied Brent, each verified by substitution.</t>
  </si>
  <si>
    <t xml:space="preserve">•  A calibration check that rebuilds reported FY2025 free cash flow from the netback, and two sensitivity grids.</t>
  </si>
  <si>
    <t xml:space="preserve">Contents</t>
  </si>
  <si>
    <t xml:space="preserve">Summary  —  netback, NAV, dividend</t>
  </si>
  <si>
    <t xml:space="preserve">Fiscal Terms  —  royalty schedule, tax rates, government take per marginal dollar</t>
  </si>
  <si>
    <t xml:space="preserve">NAV  —  netback per boe, upstream annuity, downstream, value per share</t>
  </si>
  <si>
    <t xml:space="preserve">Price Deck  —  the company across Brent; dividend cover; break-evens; price-implied Brent</t>
  </si>
  <si>
    <t xml:space="preserve">Sensitivity  —  Brent against discount rate and against sustaining capex</t>
  </si>
  <si>
    <t xml:space="preserve">Inputs  —  FY2025 figures, reserves, balance sheet, market data, assumptions</t>
  </si>
  <si>
    <t xml:space="preserve">Checks  —  fifteen tests; must read MODEL OK</t>
  </si>
  <si>
    <t xml:space="preserve">Key outputs (live)</t>
  </si>
  <si>
    <t xml:space="preserve">After-tax netback per boe at US$70 (US$)</t>
  </si>
  <si>
    <t xml:space="preserve">NAV per share (SAR)</t>
  </si>
  <si>
    <t xml:space="preserve">Share price (SAR)</t>
  </si>
  <si>
    <t xml:space="preserve">Brent the price implies at 8% (US$/bbl)</t>
  </si>
  <si>
    <t xml:space="preserve">Base dividend cover at US$70</t>
  </si>
  <si>
    <t xml:space="preserve">Discount rate the price implies at US$70</t>
  </si>
  <si>
    <t xml:space="preserve">Colour code</t>
  </si>
  <si>
    <t xml:space="preserve">Blue = hard-coded input</t>
  </si>
  <si>
    <t xml:space="preserve">Black = formula</t>
  </si>
  <si>
    <t xml:space="preserve">Green = link to another sheet</t>
  </si>
  <si>
    <t xml:space="preserve">Accent fill = scenario selector / key levers</t>
  </si>
  <si>
    <t xml:space="preserve">Sources</t>
  </si>
  <si>
    <t xml:space="preserve">Saudi Aramco Annual Report 2025 and fourth-quarter and full-year 2025 results (year to 31 December 2025): production, reserves, realised price, segment adjusted EBIT, capital expenditure, free cash flow and dividends.</t>
  </si>
  <si>
    <t xml:space="preserve">Balance sheet and income statement in SAR via Yahoo Finance for 2222.SR; converted at the 3.75 peg. Share price: Tadawul close, 18 September 2026.</t>
  </si>
  <si>
    <t xml:space="preserve">Royalty schedule and tax rates as published by the Kingdom in 2020. Costs, gas realisation, discount rate, downstream multiple and corporate costs are stated inputs.</t>
  </si>
  <si>
    <t xml:space="preserve">Nothing here is a recommendation. The valuation is an analytical exercise on public information.</t>
  </si>
  <si>
    <t xml:space="preserve">Prepared by</t>
  </si>
  <si>
    <t xml:space="preserve">Jainam Mehta · github.com/jainammehta1215/ib-portfolio</t>
  </si>
  <si>
    <t xml:space="preserve">Saudi Aramco — Energy NAV and Price-Deck Sensitivity</t>
  </si>
  <si>
    <t xml:space="preserve">SAUDI ARAMCO</t>
  </si>
  <si>
    <t xml:space="preserve">Reported FY2025 figures, reserves and production, market data and stated assumptions</t>
  </si>
  <si>
    <t xml:space="preserve">REPORTED FY2025</t>
  </si>
  <si>
    <t xml:space="preserve">SAR per US$ (peg)</t>
  </si>
  <si>
    <t xml:space="preserve">Revenue (US$ bn)</t>
  </si>
  <si>
    <t xml:space="preserve">Net income (US$ bn)</t>
  </si>
  <si>
    <t xml:space="preserve">Upstream adjusted EBIT (US$ bn)</t>
  </si>
  <si>
    <t xml:space="preserve">Downstream adjusted EBIT (US$ bn)</t>
  </si>
  <si>
    <t xml:space="preserve">Up more than four times on record refining throughput and SABIC synergies</t>
  </si>
  <si>
    <t xml:space="preserve">Capital expenditure (US$ bn)</t>
  </si>
  <si>
    <t xml:space="preserve">2026 guidance US$50–55bn; 65–70% upstream</t>
  </si>
  <si>
    <t xml:space="preserve">Free cash flow (US$ bn)</t>
  </si>
  <si>
    <t xml:space="preserve">Dividends paid (US$ bn)</t>
  </si>
  <si>
    <t xml:space="preserve">Annualised base dividend after the Q4 2025 increase (US$ bn)</t>
  </si>
  <si>
    <t xml:space="preserve">Q4 2025 base dividend of US$21.9bn, times four; the performance-linked dividend is on top and discretionary</t>
  </si>
  <si>
    <t xml:space="preserve">Average realised crude price (US$/bbl)</t>
  </si>
  <si>
    <t xml:space="preserve">RESERVES AND PRODUCTION</t>
  </si>
  <si>
    <t xml:space="preserve">Proved reserves (billion boe)</t>
  </si>
  <si>
    <t xml:space="preserve">Total hydrocarbon production (mmboed)</t>
  </si>
  <si>
    <t xml:space="preserve">  of which liquids (mmbpd)</t>
  </si>
  <si>
    <t xml:space="preserve">  of which gas and NGL (mmboed)</t>
  </si>
  <si>
    <t xml:space="preserve">Annual production (billion boe)</t>
  </si>
  <si>
    <t xml:space="preserve">Reserve life at current production (years)</t>
  </si>
  <si>
    <t xml:space="preserve">BALANCE SHEET, 31 DECEMBER 2025 (US$ bn)</t>
  </si>
  <si>
    <t xml:space="preserve">Borrowings</t>
  </si>
  <si>
    <t xml:space="preserve">Cash and cash equivalents</t>
  </si>
  <si>
    <t xml:space="preserve">Net debt</t>
  </si>
  <si>
    <t xml:space="preserve">Non-controlling interests at book</t>
  </si>
  <si>
    <t xml:space="preserve">SABIC minorities, the pipeline lease vehicles and Jafurah midstream</t>
  </si>
  <si>
    <t xml:space="preserve">Equity attributable to shareholders</t>
  </si>
  <si>
    <t xml:space="preserve">MARKET DATA</t>
  </si>
  <si>
    <t xml:space="preserve">Share price (SAR, Tadawul close 18 Sep 2026)</t>
  </si>
  <si>
    <t xml:space="preserve">Shares outstanding (billions)</t>
  </si>
  <si>
    <t xml:space="preserve">Market capitalisation (US$ bn)</t>
  </si>
  <si>
    <t xml:space="preserve">Enterprise value (US$ bn)</t>
  </si>
  <si>
    <t xml:space="preserve">Base dividend yield at the price</t>
  </si>
  <si>
    <t xml:space="preserve">VALUATION ASSUMPTIONS — stated inputs</t>
  </si>
  <si>
    <t xml:space="preserve">Base-case Brent (US$/bbl, flat)</t>
  </si>
  <si>
    <t xml:space="preserve">Close to the FY2025 realisation; a flat deck, not a forecast</t>
  </si>
  <si>
    <t xml:space="preserve">Realised liquids price relative to Brent (US$/bbl)</t>
  </si>
  <si>
    <t xml:space="preserve">Gas and NGL realisation (US$/boe)</t>
  </si>
  <si>
    <t xml:space="preserve">Domestic gas is regulated at roughly US$1.75/mmBtu; NGL exports lift the blend</t>
  </si>
  <si>
    <t xml:space="preserve">Lifting and other cash costs (US$/boe)</t>
  </si>
  <si>
    <t xml:space="preserve">Aramco discloses upstream lifting cost near US$3/boe; the rest is SG&amp;A and exploration</t>
  </si>
  <si>
    <t xml:space="preserve">Sustaining upstream capital expenditure (US$/boe)</t>
  </si>
  <si>
    <t xml:space="preserve">Two-thirds of the US$52bn programme over 4.7bn boe</t>
  </si>
  <si>
    <t xml:space="preserve">Discount rate</t>
  </si>
  <si>
    <t xml:space="preserve">Nominal, against a flat nominal price deck; conservative by construction</t>
  </si>
  <si>
    <t xml:space="preserve">Downstream depreciation (US$ bn)</t>
  </si>
  <si>
    <t xml:space="preserve">Roughly two-fifths of group D&amp;A</t>
  </si>
  <si>
    <t xml:space="preserve">Downstream EV / EBITDA multiple</t>
  </si>
  <si>
    <t xml:space="preserve">Integrated refining and chemicals; between Indian refiners and US majors in Project 10's peer set</t>
  </si>
  <si>
    <t xml:space="preserve">Corporate costs and net interest, per year (US$ bn)</t>
  </si>
  <si>
    <t xml:space="preserve">The state's take: a sliding royalty on crude and a 50% upstream income tax</t>
  </si>
  <si>
    <t xml:space="preserve">ROYALTY SCHEDULE ON CRUDE (marginal rates, published 2020)</t>
  </si>
  <si>
    <t xml:space="preserve">Rate on the price up to the first threshold</t>
  </si>
  <si>
    <t xml:space="preserve">First threshold (US$/bbl)</t>
  </si>
  <si>
    <t xml:space="preserve">Rate between the first and second thresholds</t>
  </si>
  <si>
    <t xml:space="preserve">Second threshold (US$/bbl)</t>
  </si>
  <si>
    <t xml:space="preserve">Rate above the second threshold</t>
  </si>
  <si>
    <t xml:space="preserve">Upstream income tax rate</t>
  </si>
  <si>
    <t xml:space="preserve">Downstream income tax rate</t>
  </si>
  <si>
    <t xml:space="preserve">Reduced from 50% to 20% for domestic downstream in 2020 to encourage integration</t>
  </si>
  <si>
    <t xml:space="preserve">ROYALTY PER BARREL AT THE BASE-CASE PRICE</t>
  </si>
  <si>
    <t xml:space="preserve">Liquids price (US$/bbl)</t>
  </si>
  <si>
    <t xml:space="preserve">Royalty per barrel (US$)</t>
  </si>
  <si>
    <t xml:space="preserve">Effective royalty rate</t>
  </si>
  <si>
    <t xml:space="preserve">Government take on an incremental dollar above US$100</t>
  </si>
  <si>
    <t xml:space="preserve">Ninety cents of every dollar above US$100 goes to the state. Aramco's equity has very little exposure to a spike</t>
  </si>
  <si>
    <t xml:space="preserve">Government take on an incremental dollar between US$70 and US$100</t>
  </si>
  <si>
    <t xml:space="preserve">Government take on an incremental dollar below US$70</t>
  </si>
  <si>
    <t xml:space="preserve">The schedule is what makes Aramco's cash flow so much less sensitive to oil than an international major's. Below US$70 the company keeps 42.5 cents of a marginal dollar; between US$70 and US$100 it keeps 27.5 cents; above US$100 it keeps ten. The price-deck grid on the Price Deck sheet is the direct consequence.</t>
  </si>
  <si>
    <t xml:space="preserve">Per-barrel netback, upstream annuity, downstream multiple, and value per share</t>
  </si>
  <si>
    <t xml:space="preserve">UPSTREAM NETBACK PER BARREL OF OIL EQUIVALENT (US$)</t>
  </si>
  <si>
    <t xml:space="preserve">Blended realisation: liquids at the Brent-linked price, gas at its realisation</t>
  </si>
  <si>
    <t xml:space="preserve">Less: royalty (crude only, spread over all boe)</t>
  </si>
  <si>
    <t xml:space="preserve">Less: cash operating costs</t>
  </si>
  <si>
    <t xml:space="preserve">Less: sustaining capital expenditure</t>
  </si>
  <si>
    <t xml:space="preserve">Pre-tax cash netback</t>
  </si>
  <si>
    <t xml:space="preserve">Less: income tax at 50%</t>
  </si>
  <si>
    <t xml:space="preserve">After-tax cash netback per boe</t>
  </si>
  <si>
    <t xml:space="preserve">Share of the blended realisation Aramco keeps</t>
  </si>
  <si>
    <t xml:space="preserve">UPSTREAM VALUE</t>
  </si>
  <si>
    <t xml:space="preserve">Upstream free cash flow per year (US$ bn)</t>
  </si>
  <si>
    <t xml:space="preserve">Annuity factor over the reserve life at the discount rate</t>
  </si>
  <si>
    <t xml:space="preserve">Flat production, flat price. A 52-year annuity at 8% is worth 98% of a perpetuity; the tail barely matters</t>
  </si>
  <si>
    <t xml:space="preserve">Upstream value (US$ bn)</t>
  </si>
  <si>
    <t xml:space="preserve">  implied value per boe of proved reserves (US$)</t>
  </si>
  <si>
    <t xml:space="preserve">International majors are typically valued at US$8–15 per boe of proved reserves; the state's take explains the difference</t>
  </si>
  <si>
    <t xml:space="preserve">  calibration: model upstream FCF less corporate costs versus reported group FCF</t>
  </si>
  <si>
    <t xml:space="preserve">The model rebuilds group free cash flow from first principles; it should land within 20% of the reported US$85bn at the FY2025 price</t>
  </si>
  <si>
    <t xml:space="preserve">DOWNSTREAM AND OTHER</t>
  </si>
  <si>
    <t xml:space="preserve">Downstream EBITDA (adjusted EBIT + depreciation, US$ bn)</t>
  </si>
  <si>
    <t xml:space="preserve">Downstream value at the multiple (US$ bn)</t>
  </si>
  <si>
    <t xml:space="preserve">Less: corporate costs and net interest capitalised at the discount rate</t>
  </si>
  <si>
    <t xml:space="preserve">NET ASSET VALUE</t>
  </si>
  <si>
    <t xml:space="preserve">Gross asset value (US$ bn)</t>
  </si>
  <si>
    <t xml:space="preserve">Less: net debt</t>
  </si>
  <si>
    <t xml:space="preserve">Less: non-controlling interests at book</t>
  </si>
  <si>
    <t xml:space="preserve">Net asset value (US$ bn)</t>
  </si>
  <si>
    <t xml:space="preserve">Upside / (downside)</t>
  </si>
  <si>
    <t xml:space="preserve">Brent the share price implies (US$/bbl, from the Price Deck sheet)</t>
  </si>
  <si>
    <t xml:space="preserve">Upstream as % of gross asset value</t>
  </si>
  <si>
    <t xml:space="preserve">The whole company across Brent from US$50 to US$110 — and the dividend break-even</t>
  </si>
  <si>
    <t xml:space="preserve">PER BARREL AND PER YEAR AT EACH PRICE</t>
  </si>
  <si>
    <t xml:space="preserve">Brent (US$/bbl)</t>
  </si>
  <si>
    <t xml:space="preserve">$50</t>
  </si>
  <si>
    <t xml:space="preserve">$60</t>
  </si>
  <si>
    <t xml:space="preserve">$70</t>
  </si>
  <si>
    <t xml:space="preserve">$80</t>
  </si>
  <si>
    <t xml:space="preserve">$90</t>
  </si>
  <si>
    <t xml:space="preserve">$100</t>
  </si>
  <si>
    <t xml:space="preserve">$110</t>
  </si>
  <si>
    <t xml:space="preserve">Brent</t>
  </si>
  <si>
    <t xml:space="preserve">Royalty per crude barrel (US$)</t>
  </si>
  <si>
    <t xml:space="preserve">After-tax netback per boe (US$)</t>
  </si>
  <si>
    <t xml:space="preserve">Upstream free cash flow (US$ bn)</t>
  </si>
  <si>
    <t xml:space="preserve">Group free cash flow: upstream + downstream after tax and capex − corporate (US$ bn)</t>
  </si>
  <si>
    <t xml:space="preserve">Base dividend cover: group FCF / base dividend</t>
  </si>
  <si>
    <t xml:space="preserve">Surplus / (shortfall) after the base dividend (US$ bn)</t>
  </si>
  <si>
    <t xml:space="preserve">VALUE AT EACH PRICE</t>
  </si>
  <si>
    <t xml:space="preserve">NAV (US$ bn)</t>
  </si>
  <si>
    <t xml:space="preserve">Versus the share price</t>
  </si>
  <si>
    <t xml:space="preserve">BREAK-EVENS (closed form)</t>
  </si>
  <si>
    <t xml:space="preserve">Brent at which group FCF exactly covers the base dividend (US$/bbl)</t>
  </si>
  <si>
    <t xml:space="preserve">Valid while the answer is below the first royalty threshold, which the check confirms</t>
  </si>
  <si>
    <t xml:space="preserve">Brent at which group FCF is zero (US$/bbl)</t>
  </si>
  <si>
    <t xml:space="preserve">Brent the share price implies on this NAV (US$/bbl)</t>
  </si>
  <si>
    <t xml:space="preserve">Solved on whichever royalty leg the answer falls, and verified by substitution on the Checks sheet</t>
  </si>
  <si>
    <t xml:space="preserve">Discount rate the share price implies at US$70 Brent (perpetuity approximation)</t>
  </si>
  <si>
    <t xml:space="preserve">Upstream FCF less corporate costs over the enterprise value net of downstream. The 52-year annuity differs from a perpetuity by under 2%</t>
  </si>
  <si>
    <t xml:space="preserve">Group free cash flow rises by about US$2.4bn for each dollar of Brent below US$70 and by roughly US$1.5bn per dollar between US$70 and US$100. The base dividend alone absorbs the bulk of free cash flow at a US$70 deck, which is why the performance-linked dividend was cut to almost nothing in 2025 and why the balance sheet, not the oil price, funded part of the 2024 payout.</t>
  </si>
  <si>
    <t xml:space="preserve">NAV per share (SAR) — each cell rebuilds the netback and the annuity</t>
  </si>
  <si>
    <t xml:space="preserve">BRENT (rows) versus DISCOUNT RATE (columns)</t>
  </si>
  <si>
    <t xml:space="preserve">↓ rows  \  columns →</t>
  </si>
  <si>
    <t xml:space="preserve">BRENT (rows) versus SUSTAINING CAPEX PER BOE (columns)</t>
  </si>
  <si>
    <t xml:space="preserve">Aramco on one page</t>
  </si>
  <si>
    <t xml:space="preserve">THE NETBACK AT US$70 BRENT</t>
  </si>
  <si>
    <t xml:space="preserve">Blended realisation per boe (US$)</t>
  </si>
  <si>
    <t xml:space="preserve">After-tax cash netback per boe (US$)</t>
  </si>
  <si>
    <t xml:space="preserve">Share of the barrel Aramco keeps after royalty, costs, capex and tax</t>
  </si>
  <si>
    <t xml:space="preserve">  per boe of proved reserves (US$)</t>
  </si>
  <si>
    <t xml:space="preserve">Downstream value (US$ bn)</t>
  </si>
  <si>
    <t xml:space="preserve">Brent the price implies at an 8% discount rate (US$/bbl)</t>
  </si>
  <si>
    <t xml:space="preserve">Discount rate the price implies at US$70 Brent</t>
  </si>
  <si>
    <t xml:space="preserve">THE DIVIDEND</t>
  </si>
  <si>
    <t xml:space="preserve">Base dividend, annualised (US$ bn)</t>
  </si>
  <si>
    <t xml:space="preserve">Group free cash flow at US$70 (US$ bn)</t>
  </si>
  <si>
    <t xml:space="preserve">Brent at which the base dividend is exactly covered (US$/bbl)</t>
  </si>
  <si>
    <t xml:space="preserve">•  Aramco keeps a little over a quarter of each barrel. Royalty, costs, sustaining capex and a 50% tax take the rest, and the sliding royalty means the equity captures ten cents of every dollar above US$100. The shares are a claim on volume and cost, not on the oil price.</t>
  </si>
  <si>
    <t xml:space="preserve">•  On a flat US$70 deck at an 8% discount rate the NAV is about 30% below the share price. For the price to be right at 8%, Brent would have to sit near US$120 for ever, which nobody assumes. The alternative reading is a discount rate under 6%: the market treats Aramco as a quasi-sovereign yield instrument, and most of the float is held by the state and its funds. The premium is a discount-rate premium, not an oil bet.</t>
  </si>
  <si>
    <t xml:space="preserve">•  Reserves are valued at a small fraction of what an international major's would fetch per barrel. That is not a discount to be closed — it is the arithmetic of who owns the barrel. Fifty-two years of reserve life adds almost nothing beyond year thirty at an 8% discount rate.</t>
  </si>
  <si>
    <t xml:space="preserve">•  The dividend, not the NAV, is the live question. The base payout alone needs Brent in the high sixties to be covered from free cash flow after a US$52bn capex programme. Below that the balance sheet or asset sales fund the gap, as they did in 2024 and 2025.</t>
  </si>
  <si>
    <t xml:space="preserve">Every check must read TRUE</t>
  </si>
  <si>
    <t xml:space="preserve">INTEGRITY CHECKS</t>
  </si>
  <si>
    <t xml:space="preserve">Reserve life is between 40 and 60 years</t>
  </si>
  <si>
    <t xml:space="preserve">Royalty per barrel at the base price reproduces the schedule by hand</t>
  </si>
  <si>
    <t xml:space="preserve">Royalty is non-decreasing across the price deck</t>
  </si>
  <si>
    <t xml:space="preserve">Netback is increasing across the price deck</t>
  </si>
  <si>
    <t xml:space="preserve">Base-case netback ties to the US$70 deck column</t>
  </si>
  <si>
    <t xml:space="preserve">Base-case NAV per share ties to the US$70 deck column</t>
  </si>
  <si>
    <t xml:space="preserve">Model rebuild of FY2025 group free cash flow is within 20% of the reported figure</t>
  </si>
  <si>
    <t xml:space="preserve">Annuity factor is below 1 / discount rate</t>
  </si>
  <si>
    <t xml:space="preserve">Dividend break-even solved on the first royalty leg is below the first threshold</t>
  </si>
  <si>
    <t xml:space="preserve">Dividend break-even reproduces exactly when substituted (cover = 1.0x)</t>
  </si>
  <si>
    <t xml:space="preserve">Price-implied Brent reproduces the market capitalisation when substituted</t>
  </si>
  <si>
    <t xml:space="preserve">Price-implied discount rate is below the model discount rate when the price exceeds NAV</t>
  </si>
  <si>
    <t xml:space="preserve">Base sensitivity cell reconciles to the NAV sheet</t>
  </si>
  <si>
    <t xml:space="preserve">Market capitalisation reconciles to price times shares over the peg</t>
  </si>
  <si>
    <t xml:space="preserve">Share price lies within the 52-week range</t>
  </si>
  <si>
    <t xml:space="preserve">MODEL STATUS</t>
  </si>
  <si>
    <t xml:space="preserve">The seventh check rebuilds Aramco's reported free cash flow from a per-barrel netback and demands it land within 20% of the audited figure. A reserves model that cannot reproduce last year's cash is a spreadsheet, not a valuation.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</si>
</sst>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\x"/>
    <numFmt numFmtId="167" formatCode="0.0%;\(0.0%\);\-"/>
    <numFmt numFmtId="168" formatCode="#,##0.0;\(#,##0.0\);\-"/>
    <numFmt numFmtId="169" formatCode="#,##0;\(#,##0\);\-"/>
    <numFmt numFmtId="170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84BD00"/>
      <name val="Arial"/>
      <family val="0"/>
      <charset val="1"/>
    </font>
    <font>
      <b val="true"/>
      <sz val="24"/>
      <color rgb="FF00477A"/>
      <name val="Arial"/>
      <family val="0"/>
      <charset val="1"/>
    </font>
    <font>
      <sz val="15"/>
      <color rgb="FF5E7A8E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0477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477A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477A"/>
        <bgColor rgb="FF333399"/>
      </patternFill>
    </fill>
    <fill>
      <patternFill patternType="solid">
        <fgColor rgb="FF84BD00"/>
        <bgColor rgb="FF808000"/>
      </patternFill>
    </fill>
    <fill>
      <patternFill patternType="solid">
        <fgColor rgb="FFE6F1F7"/>
        <bgColor rgb="FFFFFFFF"/>
      </patternFill>
    </fill>
    <fill>
      <patternFill patternType="solid">
        <fgColor rgb="FF5E7A8E"/>
        <bgColor rgb="FF7F7F7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E6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4BD00"/>
      <rgbColor rgb="FFFFCC00"/>
      <rgbColor rgb="FFFF9900"/>
      <rgbColor rgb="FFFF6600"/>
      <rgbColor rgb="FF5E7A8E"/>
      <rgbColor rgb="FF969696"/>
      <rgbColor rgb="FF0047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ramco_NAV.xlsx" TargetMode="External"/><Relationship Id="rId2" Type="http://schemas.openxmlformats.org/officeDocument/2006/relationships/hyperlink" Target="Aramco_NAV.xlsx" TargetMode="External"/><Relationship Id="rId3" Type="http://schemas.openxmlformats.org/officeDocument/2006/relationships/hyperlink" Target="Aramco_NAV.xlsx" TargetMode="External"/><Relationship Id="rId4" Type="http://schemas.openxmlformats.org/officeDocument/2006/relationships/hyperlink" Target="Aramco_NAV.xlsx" TargetMode="External"/><Relationship Id="rId5" Type="http://schemas.openxmlformats.org/officeDocument/2006/relationships/hyperlink" Target="Aramco_NAV.xlsx" TargetMode="External"/><Relationship Id="rId6" Type="http://schemas.openxmlformats.org/officeDocument/2006/relationships/hyperlink" Target="Aramco_NAV.xlsx" TargetMode="External"/><Relationship Id="rId7" Type="http://schemas.openxmlformats.org/officeDocument/2006/relationships/hyperlink" Target="Aramco_NAV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7.5" hidden="false" customHeight="true" outlineLevel="0" collapsed="false">
      <c r="A1" s="1"/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1"/>
      <c r="B3" s="2" t="s">
        <v>0</v>
      </c>
    </row>
    <row r="4" customFormat="false" ht="31.5" hidden="false" customHeight="true" outlineLevel="0" collapsed="false">
      <c r="A4" s="1"/>
      <c r="B4" s="3" t="s">
        <v>1</v>
      </c>
    </row>
    <row r="5" customFormat="false" ht="21.75" hidden="false" customHeight="true" outlineLevel="0" collapsed="false">
      <c r="A5" s="1"/>
      <c r="B5" s="4" t="s">
        <v>2</v>
      </c>
    </row>
    <row r="6" customFormat="false" ht="15" hidden="false" customHeight="false" outlineLevel="0" collapsed="false">
      <c r="A6" s="1"/>
      <c r="B6" s="5" t="s">
        <v>3</v>
      </c>
    </row>
    <row r="7" customFormat="false" ht="3" hidden="false" customHeight="true" outlineLevel="0" collapsed="false">
      <c r="A7" s="1"/>
      <c r="B7" s="6"/>
      <c r="C7" s="6"/>
      <c r="D7" s="6"/>
      <c r="E7" s="6"/>
      <c r="F7" s="6"/>
    </row>
    <row r="8" customFormat="false" ht="15" hidden="false" customHeight="false" outlineLevel="0" collapsed="false">
      <c r="A8" s="1"/>
    </row>
    <row r="9" customFormat="false" ht="60" hidden="false" customHeight="true" outlineLevel="0" collapsed="false">
      <c r="A9" s="1"/>
      <c r="B9" s="7" t="s">
        <v>4</v>
      </c>
      <c r="C9" s="8" t="s">
        <v>5</v>
      </c>
      <c r="D9" s="8"/>
      <c r="E9" s="8"/>
      <c r="F9" s="8"/>
    </row>
    <row r="10" customFormat="false" ht="15" hidden="false" customHeight="false" outlineLevel="0" collapsed="false">
      <c r="A10" s="1"/>
    </row>
    <row r="11" customFormat="false" ht="45" hidden="false" customHeight="true" outlineLevel="0" collapsed="false">
      <c r="A11" s="1"/>
      <c r="B11" s="7" t="s">
        <v>6</v>
      </c>
      <c r="C11" s="8" t="s">
        <v>7</v>
      </c>
      <c r="D11" s="8"/>
      <c r="E11" s="8"/>
      <c r="F11" s="8"/>
    </row>
    <row r="12" customFormat="false" ht="30" hidden="false" customHeight="true" outlineLevel="0" collapsed="false">
      <c r="A12" s="1"/>
      <c r="C12" s="8" t="s">
        <v>8</v>
      </c>
      <c r="D12" s="8"/>
      <c r="E12" s="8"/>
      <c r="F12" s="8"/>
    </row>
    <row r="13" customFormat="false" ht="45" hidden="false" customHeight="true" outlineLevel="0" collapsed="false">
      <c r="A13" s="1"/>
      <c r="C13" s="8" t="s">
        <v>9</v>
      </c>
      <c r="D13" s="8"/>
      <c r="E13" s="8"/>
      <c r="F13" s="8"/>
    </row>
    <row r="14" customFormat="false" ht="30" hidden="false" customHeight="true" outlineLevel="0" collapsed="false">
      <c r="A14" s="1"/>
      <c r="C14" s="8" t="s">
        <v>10</v>
      </c>
      <c r="D14" s="8"/>
      <c r="E14" s="8"/>
      <c r="F14" s="8"/>
    </row>
    <row r="15" customFormat="false" ht="15" hidden="false" customHeight="false" outlineLevel="0" collapsed="false">
      <c r="A15" s="1"/>
    </row>
    <row r="16" customFormat="false" ht="15" hidden="false" customHeight="false" outlineLevel="0" collapsed="false">
      <c r="A16" s="1"/>
      <c r="B16" s="7" t="s">
        <v>11</v>
      </c>
      <c r="C16" s="9" t="s">
        <v>12</v>
      </c>
      <c r="D16" s="9"/>
      <c r="E16" s="9"/>
      <c r="F16" s="9"/>
    </row>
    <row r="17" customFormat="false" ht="15" hidden="false" customHeight="false" outlineLevel="0" collapsed="false">
      <c r="A17" s="1"/>
      <c r="C17" s="9" t="s">
        <v>13</v>
      </c>
      <c r="D17" s="9"/>
      <c r="E17" s="9"/>
      <c r="F17" s="9"/>
    </row>
    <row r="18" customFormat="false" ht="15" hidden="false" customHeight="false" outlineLevel="0" collapsed="false">
      <c r="A18" s="1"/>
      <c r="C18" s="9" t="s">
        <v>14</v>
      </c>
      <c r="D18" s="9"/>
      <c r="E18" s="9"/>
      <c r="F18" s="9"/>
    </row>
    <row r="19" customFormat="false" ht="15" hidden="false" customHeight="false" outlineLevel="0" collapsed="false">
      <c r="A19" s="1"/>
      <c r="C19" s="9" t="s">
        <v>15</v>
      </c>
      <c r="D19" s="9"/>
      <c r="E19" s="9"/>
      <c r="F19" s="9"/>
    </row>
    <row r="20" customFormat="false" ht="15" hidden="false" customHeight="false" outlineLevel="0" collapsed="false">
      <c r="A20" s="1"/>
      <c r="C20" s="9" t="s">
        <v>16</v>
      </c>
      <c r="D20" s="9"/>
      <c r="E20" s="9"/>
      <c r="F20" s="9"/>
    </row>
    <row r="21" customFormat="false" ht="15" hidden="false" customHeight="false" outlineLevel="0" collapsed="false">
      <c r="A21" s="1"/>
      <c r="C21" s="9" t="s">
        <v>17</v>
      </c>
      <c r="D21" s="9"/>
      <c r="E21" s="9"/>
      <c r="F21" s="9"/>
    </row>
    <row r="22" customFormat="false" ht="15" hidden="false" customHeight="false" outlineLevel="0" collapsed="false">
      <c r="A22" s="1"/>
      <c r="C22" s="9" t="s">
        <v>18</v>
      </c>
      <c r="D22" s="9"/>
      <c r="E22" s="9"/>
      <c r="F22" s="9"/>
    </row>
    <row r="23" customFormat="false" ht="15" hidden="false" customHeight="false" outlineLevel="0" collapsed="false">
      <c r="A23" s="1"/>
    </row>
    <row r="24" customFormat="false" ht="15" hidden="false" customHeight="false" outlineLevel="0" collapsed="false">
      <c r="A24" s="1"/>
      <c r="B24" s="7" t="s">
        <v>19</v>
      </c>
      <c r="C24" s="10" t="s">
        <v>20</v>
      </c>
      <c r="D24" s="11"/>
      <c r="E24" s="12" t="n">
        <f aca="false">NAV!$C$11</f>
        <v>20.2054263565892</v>
      </c>
    </row>
    <row r="25" customFormat="false" ht="15" hidden="false" customHeight="false" outlineLevel="0" collapsed="false">
      <c r="A25" s="1"/>
      <c r="C25" s="10" t="s">
        <v>21</v>
      </c>
      <c r="D25" s="11"/>
      <c r="E25" s="12" t="n">
        <f aca="false">NAV!$C$31</f>
        <v>18.0582409403705</v>
      </c>
    </row>
    <row r="26" customFormat="false" ht="15" hidden="false" customHeight="false" outlineLevel="0" collapsed="false">
      <c r="A26" s="1"/>
      <c r="C26" s="10" t="s">
        <v>22</v>
      </c>
      <c r="D26" s="11"/>
      <c r="E26" s="12" t="n">
        <f aca="false">NAV!$C$32</f>
        <v>25.56</v>
      </c>
    </row>
    <row r="27" customFormat="false" ht="15" hidden="false" customHeight="false" outlineLevel="0" collapsed="false">
      <c r="A27" s="1"/>
      <c r="C27" s="10" t="s">
        <v>23</v>
      </c>
      <c r="D27" s="11"/>
      <c r="E27" s="12" t="n">
        <f aca="false">'Price Deck'!$C$22</f>
        <v>118.402251803657</v>
      </c>
    </row>
    <row r="28" customFormat="false" ht="15" hidden="false" customHeight="false" outlineLevel="0" collapsed="false">
      <c r="A28" s="1"/>
      <c r="C28" s="10" t="s">
        <v>24</v>
      </c>
      <c r="D28" s="11"/>
      <c r="E28" s="13" t="n">
        <f aca="false">'Price Deck'!$E$11</f>
        <v>1.03144</v>
      </c>
    </row>
    <row r="29" customFormat="false" ht="15" hidden="false" customHeight="false" outlineLevel="0" collapsed="false">
      <c r="A29" s="1"/>
      <c r="C29" s="10" t="s">
        <v>25</v>
      </c>
      <c r="D29" s="11"/>
      <c r="E29" s="14" t="n">
        <f aca="false">'Price Deck'!$C$23</f>
        <v>0.056881591229585</v>
      </c>
    </row>
    <row r="30" customFormat="false" ht="15" hidden="false" customHeight="false" outlineLevel="0" collapsed="false">
      <c r="A30" s="1"/>
    </row>
    <row r="31" customFormat="false" ht="15" hidden="false" customHeight="false" outlineLevel="0" collapsed="false">
      <c r="A31" s="1"/>
      <c r="B31" s="7" t="s">
        <v>26</v>
      </c>
      <c r="C31" s="15" t="s">
        <v>27</v>
      </c>
    </row>
    <row r="32" customFormat="false" ht="15" hidden="false" customHeight="false" outlineLevel="0" collapsed="false">
      <c r="A32" s="1"/>
      <c r="C32" s="16" t="s">
        <v>28</v>
      </c>
    </row>
    <row r="33" customFormat="false" ht="15" hidden="false" customHeight="false" outlineLevel="0" collapsed="false">
      <c r="A33" s="1"/>
      <c r="C33" s="17" t="s">
        <v>29</v>
      </c>
    </row>
    <row r="34" customFormat="false" ht="15" hidden="false" customHeight="false" outlineLevel="0" collapsed="false">
      <c r="A34" s="1"/>
      <c r="C34" s="18" t="s">
        <v>30</v>
      </c>
    </row>
    <row r="35" customFormat="false" ht="15" hidden="false" customHeight="false" outlineLevel="0" collapsed="false">
      <c r="A35" s="1"/>
    </row>
    <row r="36" customFormat="false" ht="42" hidden="false" customHeight="true" outlineLevel="0" collapsed="false">
      <c r="A36" s="1"/>
      <c r="B36" s="7" t="s">
        <v>31</v>
      </c>
      <c r="C36" s="19" t="s">
        <v>32</v>
      </c>
      <c r="D36" s="19"/>
      <c r="E36" s="19"/>
      <c r="F36" s="19"/>
    </row>
    <row r="37" customFormat="false" ht="27.75" hidden="false" customHeight="true" outlineLevel="0" collapsed="false">
      <c r="A37" s="1"/>
      <c r="C37" s="19" t="s">
        <v>33</v>
      </c>
      <c r="D37" s="19"/>
      <c r="E37" s="19"/>
      <c r="F37" s="19"/>
    </row>
    <row r="38" customFormat="false" ht="27.75" hidden="false" customHeight="true" outlineLevel="0" collapsed="false">
      <c r="A38" s="1"/>
      <c r="C38" s="19" t="s">
        <v>34</v>
      </c>
      <c r="D38" s="19"/>
      <c r="E38" s="19"/>
      <c r="F38" s="19"/>
    </row>
    <row r="39" customFormat="false" ht="27.75" hidden="false" customHeight="true" outlineLevel="0" collapsed="false">
      <c r="A39" s="1"/>
      <c r="C39" s="19" t="s">
        <v>35</v>
      </c>
      <c r="D39" s="19"/>
      <c r="E39" s="19"/>
      <c r="F39" s="19"/>
    </row>
    <row r="40" customFormat="false" ht="15" hidden="false" customHeight="false" outlineLevel="0" collapsed="false">
      <c r="A40" s="1"/>
    </row>
    <row r="41" customFormat="false" ht="15" hidden="false" customHeight="false" outlineLevel="0" collapsed="false">
      <c r="A41" s="1"/>
      <c r="B41" s="7" t="s">
        <v>36</v>
      </c>
      <c r="C41" s="20" t="s">
        <v>37</v>
      </c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</sheetData>
  <mergeCells count="16">
    <mergeCell ref="C9:F9"/>
    <mergeCell ref="C11:F11"/>
    <mergeCell ref="C12:F12"/>
    <mergeCell ref="C13:F13"/>
    <mergeCell ref="C14:F14"/>
    <mergeCell ref="C16:F16"/>
    <mergeCell ref="C17:F17"/>
    <mergeCell ref="C18:F18"/>
    <mergeCell ref="C19:F19"/>
    <mergeCell ref="C20:F20"/>
    <mergeCell ref="C21:F21"/>
    <mergeCell ref="C22:F22"/>
    <mergeCell ref="C36:F36"/>
    <mergeCell ref="C37:F37"/>
    <mergeCell ref="C38:F38"/>
    <mergeCell ref="C39:F39"/>
  </mergeCells>
  <hyperlinks>
    <hyperlink ref="C16" r:id="rId1" location="'Summary'!A1" display="Summary  —  netback, NAV, dividend"/>
    <hyperlink ref="C17" r:id="rId2" location="'Fiscal%20Terms'!A1" display="Fiscal Terms  —  royalty schedule, tax rates, government take per marginal dollar"/>
    <hyperlink ref="C18" r:id="rId3" location="'NAV'!A1" display="NAV  —  netback per boe, upstream annuity, downstream, value per share"/>
    <hyperlink ref="C19" r:id="rId4" location="'Price%20Deck'!A1" display="Price Deck  —  the company across Brent; dividend cover; break-evens; price-implied Brent"/>
    <hyperlink ref="C20" r:id="rId5" location="'Sensitivity'!A1" display="Sensitivity  —  Brent against discount rate and against sustaining capex"/>
    <hyperlink ref="C21" r:id="rId6" location="'Inputs'!A1" display="Inputs  —  FY2025 figures, reserves, balance sheet, market data, assumptions"/>
    <hyperlink ref="C22" r:id="rId7" location="'Checks'!A1" display="Checks  —  fifteen tests; must read MODEL OK"/>
  </hyperlink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Sensitivity&amp;R&amp;"Arial,Regular"&amp;8Cover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5" min="3" style="0" width="15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1"/>
      <c r="F1" s="22" t="s">
        <v>39</v>
      </c>
    </row>
    <row r="2" customFormat="false" ht="18" hidden="false" customHeight="true" outlineLevel="0" collapsed="false">
      <c r="A2" s="1"/>
      <c r="B2" s="23" t="s">
        <v>40</v>
      </c>
      <c r="C2" s="1"/>
      <c r="D2" s="1"/>
      <c r="E2" s="1"/>
      <c r="F2" s="1"/>
    </row>
    <row r="4" customFormat="false" ht="15.75" hidden="false" customHeight="true" outlineLevel="0" collapsed="false">
      <c r="B4" s="24" t="s">
        <v>41</v>
      </c>
      <c r="C4" s="1"/>
      <c r="D4" s="1"/>
      <c r="E4" s="1"/>
      <c r="F4" s="1"/>
    </row>
    <row r="5" customFormat="false" ht="15" hidden="false" customHeight="false" outlineLevel="0" collapsed="false">
      <c r="B5" s="20" t="s">
        <v>42</v>
      </c>
      <c r="C5" s="25" t="n">
        <v>3.75</v>
      </c>
    </row>
    <row r="6" customFormat="false" ht="15" hidden="false" customHeight="false" outlineLevel="0" collapsed="false">
      <c r="B6" s="20" t="s">
        <v>43</v>
      </c>
      <c r="C6" s="26" t="n">
        <f aca="false">1671.2/Inputs!$C$5</f>
        <v>445.653333333333</v>
      </c>
    </row>
    <row r="7" customFormat="false" ht="15" hidden="false" customHeight="false" outlineLevel="0" collapsed="false">
      <c r="B7" s="20" t="s">
        <v>44</v>
      </c>
      <c r="C7" s="26" t="n">
        <f aca="false">348/Inputs!$C$5</f>
        <v>92.8</v>
      </c>
    </row>
    <row r="8" customFormat="false" ht="15" hidden="false" customHeight="false" outlineLevel="0" collapsed="false">
      <c r="B8" s="20" t="s">
        <v>45</v>
      </c>
      <c r="C8" s="27" t="n">
        <v>195.5</v>
      </c>
    </row>
    <row r="9" customFormat="false" ht="15" hidden="false" customHeight="false" outlineLevel="0" collapsed="false">
      <c r="B9" s="20" t="s">
        <v>46</v>
      </c>
      <c r="C9" s="27" t="n">
        <v>10</v>
      </c>
      <c r="F9" s="28" t="s">
        <v>47</v>
      </c>
    </row>
    <row r="10" customFormat="false" ht="15" hidden="false" customHeight="false" outlineLevel="0" collapsed="false">
      <c r="B10" s="20" t="s">
        <v>48</v>
      </c>
      <c r="C10" s="27" t="n">
        <v>52.2</v>
      </c>
      <c r="F10" s="28" t="s">
        <v>49</v>
      </c>
    </row>
    <row r="11" customFormat="false" ht="15" hidden="false" customHeight="false" outlineLevel="0" collapsed="false">
      <c r="B11" s="29" t="s">
        <v>50</v>
      </c>
      <c r="C11" s="27" t="n">
        <v>85.4</v>
      </c>
    </row>
    <row r="12" customFormat="false" ht="15" hidden="false" customHeight="false" outlineLevel="0" collapsed="false">
      <c r="B12" s="20" t="s">
        <v>51</v>
      </c>
      <c r="C12" s="27" t="n">
        <v>85</v>
      </c>
    </row>
    <row r="13" customFormat="false" ht="22.35" hidden="false" customHeight="false" outlineLevel="0" collapsed="false">
      <c r="B13" s="29" t="s">
        <v>52</v>
      </c>
      <c r="C13" s="27" t="n">
        <v>87.5</v>
      </c>
      <c r="F13" s="28" t="s">
        <v>53</v>
      </c>
    </row>
    <row r="14" customFormat="false" ht="15" hidden="false" customHeight="false" outlineLevel="0" collapsed="false">
      <c r="B14" s="20" t="s">
        <v>54</v>
      </c>
      <c r="C14" s="25" t="n">
        <v>69.2</v>
      </c>
    </row>
    <row r="16" customFormat="false" ht="15.75" hidden="false" customHeight="true" outlineLevel="0" collapsed="false">
      <c r="B16" s="24" t="s">
        <v>55</v>
      </c>
      <c r="C16" s="1"/>
      <c r="D16" s="1"/>
      <c r="E16" s="1"/>
      <c r="F16" s="1"/>
    </row>
    <row r="17" customFormat="false" ht="15" hidden="false" customHeight="false" outlineLevel="0" collapsed="false">
      <c r="B17" s="20" t="s">
        <v>56</v>
      </c>
      <c r="C17" s="27" t="n">
        <v>247.2</v>
      </c>
    </row>
    <row r="18" customFormat="false" ht="15" hidden="false" customHeight="false" outlineLevel="0" collapsed="false">
      <c r="B18" s="20" t="s">
        <v>57</v>
      </c>
      <c r="C18" s="27" t="n">
        <v>12.9</v>
      </c>
    </row>
    <row r="19" customFormat="false" ht="15" hidden="false" customHeight="false" outlineLevel="0" collapsed="false">
      <c r="B19" s="20" t="s">
        <v>58</v>
      </c>
      <c r="C19" s="27" t="n">
        <v>10.7</v>
      </c>
    </row>
    <row r="20" customFormat="false" ht="15" hidden="false" customHeight="false" outlineLevel="0" collapsed="false">
      <c r="B20" s="20" t="s">
        <v>59</v>
      </c>
      <c r="C20" s="26" t="n">
        <f aca="false">Inputs!$C$18-Inputs!$C$19</f>
        <v>2.2</v>
      </c>
    </row>
    <row r="21" customFormat="false" ht="15" hidden="false" customHeight="false" outlineLevel="0" collapsed="false">
      <c r="B21" s="20" t="s">
        <v>60</v>
      </c>
      <c r="C21" s="30" t="n">
        <f aca="false">Inputs!$C$18*365/1000</f>
        <v>4.7085</v>
      </c>
    </row>
    <row r="22" customFormat="false" ht="15" hidden="false" customHeight="false" outlineLevel="0" collapsed="false">
      <c r="B22" s="29" t="s">
        <v>61</v>
      </c>
      <c r="C22" s="26" t="n">
        <f aca="false">Inputs!$C$17/Inputs!$C$21</f>
        <v>52.5007964319847</v>
      </c>
    </row>
    <row r="24" customFormat="false" ht="15.75" hidden="false" customHeight="true" outlineLevel="0" collapsed="false">
      <c r="B24" s="24" t="s">
        <v>62</v>
      </c>
      <c r="C24" s="1"/>
      <c r="D24" s="1"/>
      <c r="E24" s="1"/>
      <c r="F24" s="1"/>
    </row>
    <row r="25" customFormat="false" ht="15" hidden="false" customHeight="false" outlineLevel="0" collapsed="false">
      <c r="B25" s="20" t="s">
        <v>63</v>
      </c>
      <c r="C25" s="26" t="n">
        <f aca="false">363.6/Inputs!$C$5</f>
        <v>96.96</v>
      </c>
    </row>
    <row r="26" customFormat="false" ht="15" hidden="false" customHeight="false" outlineLevel="0" collapsed="false">
      <c r="B26" s="20" t="s">
        <v>64</v>
      </c>
      <c r="C26" s="26" t="n">
        <f aca="false">243.1/Inputs!$C$5</f>
        <v>64.8266666666667</v>
      </c>
    </row>
    <row r="27" customFormat="false" ht="15" hidden="false" customHeight="false" outlineLevel="0" collapsed="false">
      <c r="B27" s="29" t="s">
        <v>65</v>
      </c>
      <c r="C27" s="26" t="n">
        <f aca="false">Inputs!$C$25-Inputs!$C$26</f>
        <v>32.1333333333333</v>
      </c>
    </row>
    <row r="28" customFormat="false" ht="15" hidden="false" customHeight="false" outlineLevel="0" collapsed="false">
      <c r="B28" s="20" t="s">
        <v>66</v>
      </c>
      <c r="C28" s="26" t="n">
        <f aca="false">229.7/Inputs!$C$5</f>
        <v>61.2533333333333</v>
      </c>
      <c r="F28" s="28" t="s">
        <v>67</v>
      </c>
    </row>
    <row r="29" customFormat="false" ht="15" hidden="false" customHeight="false" outlineLevel="0" collapsed="false">
      <c r="B29" s="20" t="s">
        <v>68</v>
      </c>
      <c r="C29" s="26" t="n">
        <f aca="false">1492/Inputs!$C$5</f>
        <v>397.866666666667</v>
      </c>
    </row>
    <row r="31" customFormat="false" ht="15.75" hidden="false" customHeight="true" outlineLevel="0" collapsed="false">
      <c r="B31" s="24" t="s">
        <v>69</v>
      </c>
      <c r="C31" s="1"/>
      <c r="D31" s="1"/>
      <c r="E31" s="1"/>
      <c r="F31" s="1"/>
    </row>
    <row r="32" customFormat="false" ht="15" hidden="false" customHeight="false" outlineLevel="0" collapsed="false">
      <c r="B32" s="20" t="s">
        <v>70</v>
      </c>
      <c r="C32" s="25" t="n">
        <v>25.56</v>
      </c>
    </row>
    <row r="33" customFormat="false" ht="15" hidden="false" customHeight="false" outlineLevel="0" collapsed="false">
      <c r="B33" s="20" t="s">
        <v>71</v>
      </c>
      <c r="C33" s="25" t="n">
        <v>241.9074</v>
      </c>
    </row>
    <row r="34" customFormat="false" ht="15" hidden="false" customHeight="false" outlineLevel="0" collapsed="false">
      <c r="B34" s="29" t="s">
        <v>72</v>
      </c>
      <c r="C34" s="31" t="n">
        <f aca="false">Inputs!$C$32*Inputs!$C$33/Inputs!$C$5</f>
        <v>1648.8408384</v>
      </c>
    </row>
    <row r="35" customFormat="false" ht="15" hidden="false" customHeight="false" outlineLevel="0" collapsed="false">
      <c r="B35" s="20" t="s">
        <v>73</v>
      </c>
      <c r="C35" s="31" t="n">
        <f aca="false">Inputs!$C$34+Inputs!$C$27+Inputs!$C$28</f>
        <v>1742.22750506667</v>
      </c>
    </row>
    <row r="36" customFormat="false" ht="15" hidden="false" customHeight="false" outlineLevel="0" collapsed="false">
      <c r="B36" s="20" t="s">
        <v>74</v>
      </c>
      <c r="C36" s="32" t="n">
        <f aca="false">Inputs!$C$13/Inputs!$C$34</f>
        <v>0.0530675841853287</v>
      </c>
    </row>
    <row r="38" customFormat="false" ht="15.75" hidden="false" customHeight="true" outlineLevel="0" collapsed="false">
      <c r="B38" s="24" t="s">
        <v>75</v>
      </c>
      <c r="C38" s="1"/>
      <c r="D38" s="1"/>
      <c r="E38" s="1"/>
      <c r="F38" s="1"/>
    </row>
    <row r="39" customFormat="false" ht="15" hidden="false" customHeight="false" outlineLevel="0" collapsed="false">
      <c r="B39" s="20" t="s">
        <v>76</v>
      </c>
      <c r="C39" s="25" t="n">
        <v>70</v>
      </c>
      <c r="F39" s="28" t="s">
        <v>77</v>
      </c>
    </row>
    <row r="40" customFormat="false" ht="15" hidden="false" customHeight="false" outlineLevel="0" collapsed="false">
      <c r="B40" s="20" t="s">
        <v>78</v>
      </c>
      <c r="C40" s="25" t="n">
        <v>0</v>
      </c>
    </row>
    <row r="41" customFormat="false" ht="15" hidden="false" customHeight="false" outlineLevel="0" collapsed="false">
      <c r="B41" s="20" t="s">
        <v>79</v>
      </c>
      <c r="C41" s="25" t="n">
        <v>15</v>
      </c>
      <c r="F41" s="28" t="s">
        <v>80</v>
      </c>
    </row>
    <row r="42" customFormat="false" ht="22.35" hidden="false" customHeight="false" outlineLevel="0" collapsed="false">
      <c r="B42" s="20" t="s">
        <v>81</v>
      </c>
      <c r="C42" s="25" t="n">
        <v>4</v>
      </c>
      <c r="F42" s="28" t="s">
        <v>82</v>
      </c>
    </row>
    <row r="43" customFormat="false" ht="15" hidden="false" customHeight="false" outlineLevel="0" collapsed="false">
      <c r="B43" s="20" t="s">
        <v>83</v>
      </c>
      <c r="C43" s="25" t="n">
        <v>7.5</v>
      </c>
      <c r="F43" s="28" t="s">
        <v>84</v>
      </c>
    </row>
    <row r="44" customFormat="false" ht="15" hidden="false" customHeight="false" outlineLevel="0" collapsed="false">
      <c r="B44" s="20" t="s">
        <v>85</v>
      </c>
      <c r="C44" s="33" t="n">
        <v>0.08</v>
      </c>
      <c r="F44" s="28" t="s">
        <v>86</v>
      </c>
    </row>
    <row r="45" customFormat="false" ht="15" hidden="false" customHeight="false" outlineLevel="0" collapsed="false">
      <c r="B45" s="20" t="s">
        <v>87</v>
      </c>
      <c r="C45" s="27" t="n">
        <v>10</v>
      </c>
      <c r="F45" s="28" t="s">
        <v>88</v>
      </c>
    </row>
    <row r="46" customFormat="false" ht="22.35" hidden="false" customHeight="false" outlineLevel="0" collapsed="false">
      <c r="B46" s="20" t="s">
        <v>89</v>
      </c>
      <c r="C46" s="34" t="n">
        <v>7</v>
      </c>
      <c r="F46" s="28" t="s">
        <v>90</v>
      </c>
    </row>
    <row r="47" customFormat="false" ht="15" hidden="false" customHeight="false" outlineLevel="0" collapsed="false">
      <c r="B47" s="20" t="s">
        <v>91</v>
      </c>
      <c r="C47" s="27" t="n">
        <v>4</v>
      </c>
    </row>
  </sheetData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Sensitivity&amp;R&amp;"Arial,Regular"&amp;8Inputs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5" min="3" style="0" width="15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1"/>
      <c r="F1" s="22" t="s">
        <v>39</v>
      </c>
    </row>
    <row r="2" customFormat="false" ht="18" hidden="false" customHeight="true" outlineLevel="0" collapsed="false">
      <c r="A2" s="1"/>
      <c r="B2" s="23" t="s">
        <v>92</v>
      </c>
      <c r="C2" s="1"/>
      <c r="D2" s="1"/>
      <c r="E2" s="1"/>
      <c r="F2" s="1"/>
    </row>
    <row r="4" customFormat="false" ht="15.75" hidden="false" customHeight="true" outlineLevel="0" collapsed="false">
      <c r="B4" s="24" t="s">
        <v>93</v>
      </c>
      <c r="C4" s="1"/>
      <c r="D4" s="1"/>
      <c r="E4" s="1"/>
      <c r="F4" s="1"/>
    </row>
    <row r="5" customFormat="false" ht="15" hidden="false" customHeight="false" outlineLevel="0" collapsed="false">
      <c r="B5" s="20" t="s">
        <v>94</v>
      </c>
      <c r="C5" s="33" t="n">
        <v>0.15</v>
      </c>
    </row>
    <row r="6" customFormat="false" ht="15" hidden="false" customHeight="false" outlineLevel="0" collapsed="false">
      <c r="B6" s="20" t="s">
        <v>95</v>
      </c>
      <c r="C6" s="25" t="n">
        <v>70</v>
      </c>
    </row>
    <row r="7" customFormat="false" ht="15" hidden="false" customHeight="false" outlineLevel="0" collapsed="false">
      <c r="B7" s="20" t="s">
        <v>96</v>
      </c>
      <c r="C7" s="33" t="n">
        <v>0.45</v>
      </c>
    </row>
    <row r="8" customFormat="false" ht="15" hidden="false" customHeight="false" outlineLevel="0" collapsed="false">
      <c r="B8" s="20" t="s">
        <v>97</v>
      </c>
      <c r="C8" s="25" t="n">
        <v>100</v>
      </c>
    </row>
    <row r="9" customFormat="false" ht="15" hidden="false" customHeight="false" outlineLevel="0" collapsed="false">
      <c r="B9" s="20" t="s">
        <v>98</v>
      </c>
      <c r="C9" s="33" t="n">
        <v>0.8</v>
      </c>
    </row>
    <row r="10" customFormat="false" ht="15" hidden="false" customHeight="false" outlineLevel="0" collapsed="false">
      <c r="B10" s="20" t="s">
        <v>99</v>
      </c>
      <c r="C10" s="33" t="n">
        <v>0.5</v>
      </c>
    </row>
    <row r="11" customFormat="false" ht="22.35" hidden="false" customHeight="false" outlineLevel="0" collapsed="false">
      <c r="B11" s="20" t="s">
        <v>100</v>
      </c>
      <c r="C11" s="33" t="n">
        <v>0.2</v>
      </c>
      <c r="F11" s="28" t="s">
        <v>101</v>
      </c>
    </row>
    <row r="13" customFormat="false" ht="15.75" hidden="false" customHeight="true" outlineLevel="0" collapsed="false">
      <c r="B13" s="24" t="s">
        <v>102</v>
      </c>
      <c r="C13" s="1"/>
      <c r="D13" s="1"/>
      <c r="E13" s="1"/>
      <c r="F13" s="1"/>
    </row>
    <row r="14" customFormat="false" ht="15" hidden="false" customHeight="false" outlineLevel="0" collapsed="false">
      <c r="B14" s="20" t="s">
        <v>103</v>
      </c>
      <c r="C14" s="30" t="n">
        <f aca="false">Inputs!$C$39+Inputs!$C$40</f>
        <v>70</v>
      </c>
    </row>
    <row r="15" customFormat="false" ht="15" hidden="false" customHeight="false" outlineLevel="0" collapsed="false">
      <c r="B15" s="29" t="s">
        <v>104</v>
      </c>
      <c r="C15" s="30" t="n">
        <f aca="false">MIN('Fiscal Terms'!$C$14,'Fiscal Terms'!$C$6)*'Fiscal Terms'!$C$5+MAX(0,MIN('Fiscal Terms'!$C$14,'Fiscal Terms'!$C$8)-'Fiscal Terms'!$C$6)*'Fiscal Terms'!$C$7+MAX(0,'Fiscal Terms'!$C$14-'Fiscal Terms'!$C$8)*'Fiscal Terms'!$C$9</f>
        <v>10.5</v>
      </c>
    </row>
    <row r="16" customFormat="false" ht="15" hidden="false" customHeight="false" outlineLevel="0" collapsed="false">
      <c r="B16" s="20" t="s">
        <v>105</v>
      </c>
      <c r="C16" s="32" t="n">
        <f aca="false">'Fiscal Terms'!$C$15/'Fiscal Terms'!$C$14</f>
        <v>0.15</v>
      </c>
    </row>
    <row r="17" customFormat="false" ht="22.35" hidden="false" customHeight="false" outlineLevel="0" collapsed="false">
      <c r="B17" s="29" t="s">
        <v>106</v>
      </c>
      <c r="C17" s="32" t="n">
        <f aca="false">'Fiscal Terms'!$C$9+(1-'Fiscal Terms'!$C$9)*'Fiscal Terms'!$C$10</f>
        <v>0.9</v>
      </c>
      <c r="F17" s="28" t="s">
        <v>107</v>
      </c>
    </row>
    <row r="18" customFormat="false" ht="15" hidden="false" customHeight="false" outlineLevel="0" collapsed="false">
      <c r="B18" s="20" t="s">
        <v>108</v>
      </c>
      <c r="C18" s="32" t="n">
        <f aca="false">'Fiscal Terms'!$C$7+(1-'Fiscal Terms'!$C$7)*'Fiscal Terms'!$C$10</f>
        <v>0.725</v>
      </c>
    </row>
    <row r="19" customFormat="false" ht="15" hidden="false" customHeight="false" outlineLevel="0" collapsed="false">
      <c r="B19" s="20" t="s">
        <v>109</v>
      </c>
      <c r="C19" s="32" t="n">
        <f aca="false">'Fiscal Terms'!$C$5+(1-'Fiscal Terms'!$C$5)*'Fiscal Terms'!$C$10</f>
        <v>0.575</v>
      </c>
    </row>
    <row r="20" customFormat="false" ht="39.75" hidden="false" customHeight="true" outlineLevel="0" collapsed="false">
      <c r="B20" s="19" t="s">
        <v>110</v>
      </c>
      <c r="C20" s="19"/>
      <c r="D20" s="19"/>
      <c r="E20" s="19"/>
      <c r="F20" s="19"/>
    </row>
  </sheetData>
  <mergeCells count="1">
    <mergeCell ref="B20:F20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Sensitivity&amp;R&amp;"Arial,Regular"&amp;8Fiscal Terms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5" min="3" style="0" width="15"/>
    <col collapsed="false" customWidth="true" hidden="false" outlineLevel="0" max="6" min="6" style="0" width="58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1"/>
      <c r="F1" s="22" t="s">
        <v>39</v>
      </c>
    </row>
    <row r="2" customFormat="false" ht="18" hidden="false" customHeight="true" outlineLevel="0" collapsed="false">
      <c r="A2" s="1"/>
      <c r="B2" s="23" t="s">
        <v>111</v>
      </c>
      <c r="C2" s="1"/>
      <c r="D2" s="1"/>
      <c r="E2" s="1"/>
      <c r="F2" s="1"/>
    </row>
    <row r="4" customFormat="false" ht="15.75" hidden="false" customHeight="true" outlineLevel="0" collapsed="false">
      <c r="B4" s="24" t="s">
        <v>112</v>
      </c>
      <c r="C4" s="1"/>
      <c r="D4" s="1"/>
      <c r="E4" s="1"/>
      <c r="F4" s="1"/>
    </row>
    <row r="5" customFormat="false" ht="15" hidden="false" customHeight="false" outlineLevel="0" collapsed="false">
      <c r="B5" s="20" t="s">
        <v>113</v>
      </c>
      <c r="C5" s="30" t="n">
        <f aca="false">(Inputs!$C$19*'Fiscal Terms'!$C$14+Inputs!$C$20*Inputs!$C$41)/Inputs!$C$18</f>
        <v>60.6201550387597</v>
      </c>
    </row>
    <row r="6" customFormat="false" ht="15" hidden="false" customHeight="false" outlineLevel="0" collapsed="false">
      <c r="B6" s="20" t="s">
        <v>114</v>
      </c>
      <c r="C6" s="30" t="n">
        <f aca="false">-'Fiscal Terms'!$C$15*Inputs!$C$19/Inputs!$C$18</f>
        <v>-8.70930232558139</v>
      </c>
    </row>
    <row r="7" customFormat="false" ht="15" hidden="false" customHeight="false" outlineLevel="0" collapsed="false">
      <c r="B7" s="20" t="s">
        <v>115</v>
      </c>
      <c r="C7" s="30" t="n">
        <f aca="false">-Inputs!$C$42</f>
        <v>-4</v>
      </c>
    </row>
    <row r="8" customFormat="false" ht="15" hidden="false" customHeight="false" outlineLevel="0" collapsed="false">
      <c r="B8" s="20" t="s">
        <v>116</v>
      </c>
      <c r="C8" s="30" t="n">
        <f aca="false">-Inputs!$C$43</f>
        <v>-7.5</v>
      </c>
    </row>
    <row r="9" customFormat="false" ht="15" hidden="false" customHeight="false" outlineLevel="0" collapsed="false">
      <c r="B9" s="29" t="s">
        <v>117</v>
      </c>
      <c r="C9" s="35" t="n">
        <f aca="false">SUM(C5:C8)</f>
        <v>40.4108527131783</v>
      </c>
    </row>
    <row r="10" customFormat="false" ht="15" hidden="false" customHeight="false" outlineLevel="0" collapsed="false">
      <c r="B10" s="20" t="s">
        <v>118</v>
      </c>
      <c r="C10" s="30" t="n">
        <f aca="false">-NAV!$C$9*'Fiscal Terms'!$C$10</f>
        <v>-20.2054263565892</v>
      </c>
    </row>
    <row r="11" customFormat="false" ht="15" hidden="false" customHeight="false" outlineLevel="0" collapsed="false">
      <c r="B11" s="29" t="s">
        <v>119</v>
      </c>
      <c r="C11" s="36" t="n">
        <f aca="false">NAV!$C$9+NAV!$C$10</f>
        <v>20.2054263565892</v>
      </c>
    </row>
    <row r="12" customFormat="false" ht="15" hidden="false" customHeight="false" outlineLevel="0" collapsed="false">
      <c r="B12" s="20" t="s">
        <v>120</v>
      </c>
      <c r="C12" s="32" t="n">
        <f aca="false">NAV!$C$11/NAV!$C$5</f>
        <v>0.333312020460358</v>
      </c>
    </row>
    <row r="14" customFormat="false" ht="15.75" hidden="false" customHeight="true" outlineLevel="0" collapsed="false">
      <c r="B14" s="24" t="s">
        <v>121</v>
      </c>
      <c r="C14" s="1"/>
      <c r="D14" s="1"/>
      <c r="E14" s="1"/>
      <c r="F14" s="1"/>
    </row>
    <row r="15" customFormat="false" ht="15" hidden="false" customHeight="false" outlineLevel="0" collapsed="false">
      <c r="B15" s="29" t="s">
        <v>122</v>
      </c>
      <c r="C15" s="26" t="n">
        <f aca="false">NAV!$C$11*Inputs!$C$21</f>
        <v>95.13725</v>
      </c>
    </row>
    <row r="16" customFormat="false" ht="22.35" hidden="false" customHeight="false" outlineLevel="0" collapsed="false">
      <c r="B16" s="20" t="s">
        <v>123</v>
      </c>
      <c r="C16" s="30" t="n">
        <f aca="false">(1-(1+Inputs!$C$44)^-Inputs!$C$22)/Inputs!$C$44</f>
        <v>12.2801450590835</v>
      </c>
      <c r="F16" s="28" t="s">
        <v>124</v>
      </c>
    </row>
    <row r="17" customFormat="false" ht="15" hidden="false" customHeight="false" outlineLevel="0" collapsed="false">
      <c r="B17" s="29" t="s">
        <v>125</v>
      </c>
      <c r="C17" s="37" t="n">
        <f aca="false">NAV!$C$15*NAV!$C$16</f>
        <v>1168.29923052229</v>
      </c>
    </row>
    <row r="18" customFormat="false" ht="22.35" hidden="false" customHeight="false" outlineLevel="0" collapsed="false">
      <c r="B18" s="20" t="s">
        <v>126</v>
      </c>
      <c r="C18" s="30" t="n">
        <f aca="false">NAV!$C$17/Inputs!$C$17</f>
        <v>4.72612957331024</v>
      </c>
      <c r="F18" s="28" t="s">
        <v>127</v>
      </c>
    </row>
    <row r="19" customFormat="false" ht="22.35" hidden="false" customHeight="false" outlineLevel="0" collapsed="false">
      <c r="B19" s="20" t="s">
        <v>128</v>
      </c>
      <c r="C19" s="32" t="n">
        <f aca="false">(NAV!$C$15-Inputs!$C$47+(Inputs!$C$9+Inputs!$C$45)*(1-'Fiscal Terms'!$C$11)-(Inputs!$C$10-Inputs!$C$43*Inputs!$C$21))/Inputs!$C$11-1</f>
        <v>0.0568032786885246</v>
      </c>
      <c r="F19" s="28" t="s">
        <v>129</v>
      </c>
    </row>
    <row r="21" customFormat="false" ht="15.75" hidden="false" customHeight="true" outlineLevel="0" collapsed="false">
      <c r="B21" s="24" t="s">
        <v>130</v>
      </c>
      <c r="C21" s="1"/>
      <c r="D21" s="1"/>
      <c r="E21" s="1"/>
      <c r="F21" s="1"/>
    </row>
    <row r="22" customFormat="false" ht="15" hidden="false" customHeight="false" outlineLevel="0" collapsed="false">
      <c r="B22" s="20" t="s">
        <v>131</v>
      </c>
      <c r="C22" s="26" t="n">
        <f aca="false">Inputs!$C$9+Inputs!$C$45</f>
        <v>20</v>
      </c>
    </row>
    <row r="23" customFormat="false" ht="15" hidden="false" customHeight="false" outlineLevel="0" collapsed="false">
      <c r="B23" s="29" t="s">
        <v>132</v>
      </c>
      <c r="C23" s="31" t="n">
        <f aca="false">NAV!$C$22*Inputs!$C$46</f>
        <v>140</v>
      </c>
    </row>
    <row r="24" customFormat="false" ht="15" hidden="false" customHeight="false" outlineLevel="0" collapsed="false">
      <c r="B24" s="20" t="s">
        <v>133</v>
      </c>
      <c r="C24" s="31" t="n">
        <f aca="false">-Inputs!$C$47/Inputs!$C$44</f>
        <v>-50</v>
      </c>
    </row>
    <row r="26" customFormat="false" ht="15.75" hidden="false" customHeight="true" outlineLevel="0" collapsed="false">
      <c r="B26" s="24" t="s">
        <v>134</v>
      </c>
      <c r="C26" s="1"/>
      <c r="D26" s="1"/>
      <c r="E26" s="1"/>
      <c r="F26" s="1"/>
    </row>
    <row r="27" customFormat="false" ht="15" hidden="false" customHeight="false" outlineLevel="0" collapsed="false">
      <c r="B27" s="29" t="s">
        <v>135</v>
      </c>
      <c r="C27" s="31" t="n">
        <f aca="false">NAV!$C$17+NAV!$C$23+NAV!$C$24</f>
        <v>1258.29923052229</v>
      </c>
    </row>
    <row r="28" customFormat="false" ht="15" hidden="false" customHeight="false" outlineLevel="0" collapsed="false">
      <c r="B28" s="20" t="s">
        <v>136</v>
      </c>
      <c r="C28" s="38" t="n">
        <f aca="false">-Inputs!$C$27</f>
        <v>-32.1333333333333</v>
      </c>
    </row>
    <row r="29" customFormat="false" ht="15" hidden="false" customHeight="false" outlineLevel="0" collapsed="false">
      <c r="B29" s="20" t="s">
        <v>137</v>
      </c>
      <c r="C29" s="38" t="n">
        <f aca="false">-Inputs!$C$28</f>
        <v>-61.2533333333333</v>
      </c>
    </row>
    <row r="30" customFormat="false" ht="15" hidden="false" customHeight="false" outlineLevel="0" collapsed="false">
      <c r="B30" s="29" t="s">
        <v>138</v>
      </c>
      <c r="C30" s="37" t="n">
        <f aca="false">NAV!$C$27+NAV!$C$28+NAV!$C$29</f>
        <v>1164.91256385562</v>
      </c>
    </row>
    <row r="31" customFormat="false" ht="15" hidden="false" customHeight="false" outlineLevel="0" collapsed="false">
      <c r="B31" s="29" t="s">
        <v>21</v>
      </c>
      <c r="C31" s="30" t="n">
        <f aca="false">NAV!$C$30*Inputs!$C$5/Inputs!$C$33</f>
        <v>18.0582409403705</v>
      </c>
    </row>
    <row r="32" customFormat="false" ht="15" hidden="false" customHeight="false" outlineLevel="0" collapsed="false">
      <c r="B32" s="20" t="s">
        <v>22</v>
      </c>
      <c r="C32" s="39" t="n">
        <f aca="false">Inputs!$C$32</f>
        <v>25.56</v>
      </c>
    </row>
    <row r="33" customFormat="false" ht="15" hidden="false" customHeight="false" outlineLevel="0" collapsed="false">
      <c r="B33" s="29" t="s">
        <v>139</v>
      </c>
      <c r="C33" s="40" t="n">
        <f aca="false">NAV!$C$31/NAV!$C$32-1</f>
        <v>-0.293496050846224</v>
      </c>
    </row>
    <row r="34" customFormat="false" ht="15" hidden="false" customHeight="false" outlineLevel="0" collapsed="false">
      <c r="B34" s="29" t="s">
        <v>140</v>
      </c>
      <c r="C34" s="39" t="n">
        <f aca="false">'Price Deck'!$C$22</f>
        <v>118.402251803657</v>
      </c>
    </row>
    <row r="35" customFormat="false" ht="15" hidden="false" customHeight="false" outlineLevel="0" collapsed="false">
      <c r="B35" s="20" t="s">
        <v>141</v>
      </c>
      <c r="C35" s="32" t="n">
        <f aca="false">NAV!$C$17/NAV!$C$27</f>
        <v>0.92847488274896</v>
      </c>
    </row>
  </sheetData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Sensitivity&amp;R&amp;"Arial,Regular"&amp;8NAV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6"/>
    <col collapsed="false" customWidth="true" hidden="false" outlineLevel="0" max="9" min="3" style="0" width="12.5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1"/>
      <c r="F1" s="1"/>
      <c r="G1" s="1"/>
      <c r="H1" s="1"/>
      <c r="I1" s="22" t="s">
        <v>39</v>
      </c>
    </row>
    <row r="2" customFormat="false" ht="18" hidden="false" customHeight="true" outlineLevel="0" collapsed="false">
      <c r="A2" s="1"/>
      <c r="B2" s="23" t="s">
        <v>142</v>
      </c>
      <c r="C2" s="1"/>
      <c r="D2" s="1"/>
      <c r="E2" s="1"/>
      <c r="F2" s="1"/>
      <c r="G2" s="1"/>
      <c r="H2" s="1"/>
      <c r="I2" s="1"/>
    </row>
    <row r="4" customFormat="false" ht="15.75" hidden="false" customHeight="true" outlineLevel="0" collapsed="false">
      <c r="B4" s="24" t="s">
        <v>143</v>
      </c>
      <c r="C4" s="1"/>
      <c r="D4" s="1"/>
      <c r="E4" s="1"/>
      <c r="F4" s="1"/>
      <c r="G4" s="1"/>
      <c r="H4" s="1"/>
      <c r="I4" s="1"/>
    </row>
    <row r="5" customFormat="false" ht="18" hidden="false" customHeight="true" outlineLevel="0" collapsed="false">
      <c r="B5" s="29" t="s">
        <v>144</v>
      </c>
      <c r="C5" s="41" t="s">
        <v>145</v>
      </c>
      <c r="D5" s="41" t="s">
        <v>146</v>
      </c>
      <c r="E5" s="41" t="s">
        <v>147</v>
      </c>
      <c r="F5" s="41" t="s">
        <v>148</v>
      </c>
      <c r="G5" s="41" t="s">
        <v>149</v>
      </c>
      <c r="H5" s="41" t="s">
        <v>150</v>
      </c>
      <c r="I5" s="41" t="s">
        <v>151</v>
      </c>
    </row>
    <row r="6" customFormat="false" ht="15" hidden="false" customHeight="false" outlineLevel="0" collapsed="false">
      <c r="B6" s="20" t="s">
        <v>152</v>
      </c>
      <c r="C6" s="25" t="n">
        <v>50</v>
      </c>
      <c r="D6" s="25" t="n">
        <v>60</v>
      </c>
      <c r="E6" s="25" t="n">
        <v>70</v>
      </c>
      <c r="F6" s="25" t="n">
        <v>80</v>
      </c>
      <c r="G6" s="25" t="n">
        <v>90</v>
      </c>
      <c r="H6" s="25" t="n">
        <v>100</v>
      </c>
      <c r="I6" s="25" t="n">
        <v>110</v>
      </c>
    </row>
    <row r="7" customFormat="false" ht="15" hidden="false" customHeight="false" outlineLevel="0" collapsed="false">
      <c r="B7" s="20" t="s">
        <v>153</v>
      </c>
      <c r="C7" s="30" t="n">
        <f aca="false">MIN(C6+Inputs!$C$40,'Fiscal Terms'!$C$6)*'Fiscal Terms'!$C$5+MAX(0,MIN(C6+Inputs!$C$40,'Fiscal Terms'!$C$8)-'Fiscal Terms'!$C$6)*'Fiscal Terms'!$C$7+MAX(0,C6+Inputs!$C$40-'Fiscal Terms'!$C$8)*'Fiscal Terms'!$C$9</f>
        <v>7.5</v>
      </c>
      <c r="D7" s="30" t="n">
        <f aca="false">MIN(D6+Inputs!$C$40,'Fiscal Terms'!$C$6)*'Fiscal Terms'!$C$5+MAX(0,MIN(D6+Inputs!$C$40,'Fiscal Terms'!$C$8)-'Fiscal Terms'!$C$6)*'Fiscal Terms'!$C$7+MAX(0,D6+Inputs!$C$40-'Fiscal Terms'!$C$8)*'Fiscal Terms'!$C$9</f>
        <v>9</v>
      </c>
      <c r="E7" s="30" t="n">
        <f aca="false">MIN(E6+Inputs!$C$40,'Fiscal Terms'!$C$6)*'Fiscal Terms'!$C$5+MAX(0,MIN(E6+Inputs!$C$40,'Fiscal Terms'!$C$8)-'Fiscal Terms'!$C$6)*'Fiscal Terms'!$C$7+MAX(0,E6+Inputs!$C$40-'Fiscal Terms'!$C$8)*'Fiscal Terms'!$C$9</f>
        <v>10.5</v>
      </c>
      <c r="F7" s="30" t="n">
        <f aca="false">MIN(F6+Inputs!$C$40,'Fiscal Terms'!$C$6)*'Fiscal Terms'!$C$5+MAX(0,MIN(F6+Inputs!$C$40,'Fiscal Terms'!$C$8)-'Fiscal Terms'!$C$6)*'Fiscal Terms'!$C$7+MAX(0,F6+Inputs!$C$40-'Fiscal Terms'!$C$8)*'Fiscal Terms'!$C$9</f>
        <v>15</v>
      </c>
      <c r="G7" s="30" t="n">
        <f aca="false">MIN(G6+Inputs!$C$40,'Fiscal Terms'!$C$6)*'Fiscal Terms'!$C$5+MAX(0,MIN(G6+Inputs!$C$40,'Fiscal Terms'!$C$8)-'Fiscal Terms'!$C$6)*'Fiscal Terms'!$C$7+MAX(0,G6+Inputs!$C$40-'Fiscal Terms'!$C$8)*'Fiscal Terms'!$C$9</f>
        <v>19.5</v>
      </c>
      <c r="H7" s="30" t="n">
        <f aca="false">MIN(H6+Inputs!$C$40,'Fiscal Terms'!$C$6)*'Fiscal Terms'!$C$5+MAX(0,MIN(H6+Inputs!$C$40,'Fiscal Terms'!$C$8)-'Fiscal Terms'!$C$6)*'Fiscal Terms'!$C$7+MAX(0,H6+Inputs!$C$40-'Fiscal Terms'!$C$8)*'Fiscal Terms'!$C$9</f>
        <v>24</v>
      </c>
      <c r="I7" s="30" t="n">
        <f aca="false">MIN(I6+Inputs!$C$40,'Fiscal Terms'!$C$6)*'Fiscal Terms'!$C$5+MAX(0,MIN(I6+Inputs!$C$40,'Fiscal Terms'!$C$8)-'Fiscal Terms'!$C$6)*'Fiscal Terms'!$C$7+MAX(0,I6+Inputs!$C$40-'Fiscal Terms'!$C$8)*'Fiscal Terms'!$C$9</f>
        <v>32</v>
      </c>
    </row>
    <row r="8" customFormat="false" ht="15" hidden="false" customHeight="false" outlineLevel="0" collapsed="false">
      <c r="B8" s="29" t="s">
        <v>154</v>
      </c>
      <c r="C8" s="30" t="n">
        <f aca="false">((Inputs!$C$19*(C6+Inputs!$C$40)+Inputs!$C$20*Inputs!$C$41)/Inputs!$C$18-C7*Inputs!$C$19/Inputs!$C$18-Inputs!$C$42-Inputs!$C$43)*(1-'Fiscal Terms'!$C$10)</f>
        <v>13.1550387596899</v>
      </c>
      <c r="D8" s="30" t="n">
        <f aca="false">((Inputs!$C$19*(D6+Inputs!$C$40)+Inputs!$C$20*Inputs!$C$41)/Inputs!$C$18-D7*Inputs!$C$19/Inputs!$C$18-Inputs!$C$42-Inputs!$C$43)*(1-'Fiscal Terms'!$C$10)</f>
        <v>16.6802325581395</v>
      </c>
      <c r="E8" s="30" t="n">
        <f aca="false">((Inputs!$C$19*(E6+Inputs!$C$40)+Inputs!$C$20*Inputs!$C$41)/Inputs!$C$18-E7*Inputs!$C$19/Inputs!$C$18-Inputs!$C$42-Inputs!$C$43)*(1-'Fiscal Terms'!$C$10)</f>
        <v>20.2054263565892</v>
      </c>
      <c r="F8" s="30" t="n">
        <f aca="false">((Inputs!$C$19*(F6+Inputs!$C$40)+Inputs!$C$20*Inputs!$C$41)/Inputs!$C$18-F7*Inputs!$C$19/Inputs!$C$18-Inputs!$C$42-Inputs!$C$43)*(1-'Fiscal Terms'!$C$10)</f>
        <v>22.4864341085271</v>
      </c>
      <c r="G8" s="30" t="n">
        <f aca="false">((Inputs!$C$19*(G6+Inputs!$C$40)+Inputs!$C$20*Inputs!$C$41)/Inputs!$C$18-G7*Inputs!$C$19/Inputs!$C$18-Inputs!$C$42-Inputs!$C$43)*(1-'Fiscal Terms'!$C$10)</f>
        <v>24.7674418604651</v>
      </c>
      <c r="H8" s="30" t="n">
        <f aca="false">((Inputs!$C$19*(H6+Inputs!$C$40)+Inputs!$C$20*Inputs!$C$41)/Inputs!$C$18-H7*Inputs!$C$19/Inputs!$C$18-Inputs!$C$42-Inputs!$C$43)*(1-'Fiscal Terms'!$C$10)</f>
        <v>27.0484496124031</v>
      </c>
      <c r="I8" s="30" t="n">
        <f aca="false">((Inputs!$C$19*(I6+Inputs!$C$40)+Inputs!$C$20*Inputs!$C$41)/Inputs!$C$18-I7*Inputs!$C$19/Inputs!$C$18-Inputs!$C$42-Inputs!$C$43)*(1-'Fiscal Terms'!$C$10)</f>
        <v>27.8779069767442</v>
      </c>
    </row>
    <row r="9" customFormat="false" ht="15" hidden="false" customHeight="false" outlineLevel="0" collapsed="false">
      <c r="B9" s="20" t="s">
        <v>155</v>
      </c>
      <c r="C9" s="26" t="n">
        <f aca="false">C8*Inputs!$C$21</f>
        <v>61.9405</v>
      </c>
      <c r="D9" s="26" t="n">
        <f aca="false">D8*Inputs!$C$21</f>
        <v>78.538875</v>
      </c>
      <c r="E9" s="26" t="n">
        <f aca="false">E8*Inputs!$C$21</f>
        <v>95.13725</v>
      </c>
      <c r="F9" s="26" t="n">
        <f aca="false">F8*Inputs!$C$21</f>
        <v>105.877375</v>
      </c>
      <c r="G9" s="26" t="n">
        <f aca="false">G8*Inputs!$C$21</f>
        <v>116.6175</v>
      </c>
      <c r="H9" s="26" t="n">
        <f aca="false">H8*Inputs!$C$21</f>
        <v>127.357625</v>
      </c>
      <c r="I9" s="26" t="n">
        <f aca="false">I8*Inputs!$C$21</f>
        <v>131.263125</v>
      </c>
    </row>
    <row r="10" customFormat="false" ht="15" hidden="false" customHeight="false" outlineLevel="0" collapsed="false">
      <c r="B10" s="29" t="s">
        <v>156</v>
      </c>
      <c r="C10" s="42" t="n">
        <f aca="false">C9+(Inputs!$C$9+Inputs!$C$45)*(1-'Fiscal Terms'!$C$11)-(Inputs!$C$10-Inputs!$C$43*Inputs!$C$21)-Inputs!$C$47</f>
        <v>57.05425</v>
      </c>
      <c r="D10" s="42" t="n">
        <f aca="false">D9+(Inputs!$C$9+Inputs!$C$45)*(1-'Fiscal Terms'!$C$11)-(Inputs!$C$10-Inputs!$C$43*Inputs!$C$21)-Inputs!$C$47</f>
        <v>73.652625</v>
      </c>
      <c r="E10" s="42" t="n">
        <f aca="false">E9+(Inputs!$C$9+Inputs!$C$45)*(1-'Fiscal Terms'!$C$11)-(Inputs!$C$10-Inputs!$C$43*Inputs!$C$21)-Inputs!$C$47</f>
        <v>90.251</v>
      </c>
      <c r="F10" s="42" t="n">
        <f aca="false">F9+(Inputs!$C$9+Inputs!$C$45)*(1-'Fiscal Terms'!$C$11)-(Inputs!$C$10-Inputs!$C$43*Inputs!$C$21)-Inputs!$C$47</f>
        <v>100.991125</v>
      </c>
      <c r="G10" s="42" t="n">
        <f aca="false">G9+(Inputs!$C$9+Inputs!$C$45)*(1-'Fiscal Terms'!$C$11)-(Inputs!$C$10-Inputs!$C$43*Inputs!$C$21)-Inputs!$C$47</f>
        <v>111.73125</v>
      </c>
      <c r="H10" s="42" t="n">
        <f aca="false">H9+(Inputs!$C$9+Inputs!$C$45)*(1-'Fiscal Terms'!$C$11)-(Inputs!$C$10-Inputs!$C$43*Inputs!$C$21)-Inputs!$C$47</f>
        <v>122.471375</v>
      </c>
      <c r="I10" s="42" t="n">
        <f aca="false">I9+(Inputs!$C$9+Inputs!$C$45)*(1-'Fiscal Terms'!$C$11)-(Inputs!$C$10-Inputs!$C$43*Inputs!$C$21)-Inputs!$C$47</f>
        <v>126.376875</v>
      </c>
    </row>
    <row r="11" customFormat="false" ht="15" hidden="false" customHeight="false" outlineLevel="0" collapsed="false">
      <c r="B11" s="29" t="s">
        <v>157</v>
      </c>
      <c r="C11" s="43" t="n">
        <f aca="false">C10/Inputs!$C$13</f>
        <v>0.652048571428571</v>
      </c>
      <c r="D11" s="43" t="n">
        <f aca="false">D10/Inputs!$C$13</f>
        <v>0.841744285714286</v>
      </c>
      <c r="E11" s="43" t="n">
        <f aca="false">E10/Inputs!$C$13</f>
        <v>1.03144</v>
      </c>
      <c r="F11" s="43" t="n">
        <f aca="false">F10/Inputs!$C$13</f>
        <v>1.15418428571429</v>
      </c>
      <c r="G11" s="43" t="n">
        <f aca="false">G10/Inputs!$C$13</f>
        <v>1.27692857142857</v>
      </c>
      <c r="H11" s="43" t="n">
        <f aca="false">H10/Inputs!$C$13</f>
        <v>1.39967285714286</v>
      </c>
      <c r="I11" s="43" t="n">
        <f aca="false">I10/Inputs!$C$13</f>
        <v>1.44430714285714</v>
      </c>
    </row>
    <row r="12" customFormat="false" ht="15" hidden="false" customHeight="false" outlineLevel="0" collapsed="false">
      <c r="B12" s="20" t="s">
        <v>158</v>
      </c>
      <c r="C12" s="26" t="n">
        <f aca="false">C10-Inputs!$C$13</f>
        <v>-30.44575</v>
      </c>
      <c r="D12" s="26" t="n">
        <f aca="false">D10-Inputs!$C$13</f>
        <v>-13.847375</v>
      </c>
      <c r="E12" s="26" t="n">
        <f aca="false">E10-Inputs!$C$13</f>
        <v>2.751</v>
      </c>
      <c r="F12" s="26" t="n">
        <f aca="false">F10-Inputs!$C$13</f>
        <v>13.491125</v>
      </c>
      <c r="G12" s="26" t="n">
        <f aca="false">G10-Inputs!$C$13</f>
        <v>24.23125</v>
      </c>
      <c r="H12" s="26" t="n">
        <f aca="false">H10-Inputs!$C$13</f>
        <v>34.971375</v>
      </c>
      <c r="I12" s="26" t="n">
        <f aca="false">I10-Inputs!$C$13</f>
        <v>38.876875</v>
      </c>
    </row>
    <row r="14" customFormat="false" ht="15.75" hidden="false" customHeight="true" outlineLevel="0" collapsed="false">
      <c r="B14" s="24" t="s">
        <v>159</v>
      </c>
      <c r="C14" s="1"/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B15" s="20" t="s">
        <v>160</v>
      </c>
      <c r="C15" s="31" t="n">
        <f aca="false">C9*NAV!$C$16+NAV!$C$23+NAV!$C$24-Inputs!$C$27-Inputs!$C$28</f>
        <v>757.251658365494</v>
      </c>
      <c r="D15" s="31" t="n">
        <f aca="false">D9*NAV!$C$16+NAV!$C$23+NAV!$C$24-Inputs!$C$27-Inputs!$C$28</f>
        <v>961.082111110559</v>
      </c>
      <c r="E15" s="31" t="n">
        <f aca="false">E9*NAV!$C$16+NAV!$C$23+NAV!$C$24-Inputs!$C$27-Inputs!$C$28</f>
        <v>1164.91256385562</v>
      </c>
      <c r="F15" s="31" t="n">
        <f aca="false">F9*NAV!$C$16+NAV!$C$23+NAV!$C$24-Inputs!$C$27-Inputs!$C$28</f>
        <v>1296.80285680831</v>
      </c>
      <c r="G15" s="31" t="n">
        <f aca="false">G9*NAV!$C$16+NAV!$C$23+NAV!$C$24-Inputs!$C$27-Inputs!$C$28</f>
        <v>1428.693149761</v>
      </c>
      <c r="H15" s="31" t="n">
        <f aca="false">H9*NAV!$C$16+NAV!$C$23+NAV!$C$24-Inputs!$C$27-Inputs!$C$28</f>
        <v>1560.58344271369</v>
      </c>
      <c r="I15" s="31" t="n">
        <f aca="false">I9*NAV!$C$16+NAV!$C$23+NAV!$C$24-Inputs!$C$27-Inputs!$C$28</f>
        <v>1608.54354924194</v>
      </c>
    </row>
    <row r="16" customFormat="false" ht="15" hidden="false" customHeight="false" outlineLevel="0" collapsed="false">
      <c r="B16" s="29" t="s">
        <v>21</v>
      </c>
      <c r="C16" s="36" t="n">
        <f aca="false">C15*Inputs!$C$5/Inputs!$C$33</f>
        <v>11.7387633403137</v>
      </c>
      <c r="D16" s="36" t="n">
        <f aca="false">D15*Inputs!$C$5/Inputs!$C$33</f>
        <v>14.8985021403421</v>
      </c>
      <c r="E16" s="36" t="n">
        <f aca="false">E15*Inputs!$C$5/Inputs!$C$33</f>
        <v>18.0582409403705</v>
      </c>
      <c r="F16" s="36" t="n">
        <f aca="false">F15*Inputs!$C$5/Inputs!$C$33</f>
        <v>20.1027778109771</v>
      </c>
      <c r="G16" s="36" t="n">
        <f aca="false">G15*Inputs!$C$5/Inputs!$C$33</f>
        <v>22.1473146815838</v>
      </c>
      <c r="H16" s="36" t="n">
        <f aca="false">H15*Inputs!$C$5/Inputs!$C$33</f>
        <v>24.1918515521904</v>
      </c>
      <c r="I16" s="36" t="n">
        <f aca="false">I15*Inputs!$C$5/Inputs!$C$33</f>
        <v>24.9353195051382</v>
      </c>
    </row>
    <row r="17" customFormat="false" ht="15" hidden="false" customHeight="false" outlineLevel="0" collapsed="false">
      <c r="B17" s="20" t="s">
        <v>161</v>
      </c>
      <c r="C17" s="32" t="n">
        <f aca="false">C16/Inputs!$C$32-1</f>
        <v>-0.540736958516678</v>
      </c>
      <c r="D17" s="32" t="n">
        <f aca="false">D16/Inputs!$C$32-1</f>
        <v>-0.417116504681451</v>
      </c>
      <c r="E17" s="32" t="n">
        <f aca="false">E16/Inputs!$C$32-1</f>
        <v>-0.293496050846224</v>
      </c>
      <c r="F17" s="32" t="n">
        <f aca="false">F16/Inputs!$C$32-1</f>
        <v>-0.213506345423429</v>
      </c>
      <c r="G17" s="32" t="n">
        <f aca="false">G16/Inputs!$C$32-1</f>
        <v>-0.133516640000635</v>
      </c>
      <c r="H17" s="32" t="n">
        <f aca="false">H16/Inputs!$C$32-1</f>
        <v>-0.0535269345778409</v>
      </c>
      <c r="I17" s="32" t="n">
        <f aca="false">I16/Inputs!$C$32-1</f>
        <v>-0.0244397689695521</v>
      </c>
    </row>
    <row r="19" customFormat="false" ht="15.75" hidden="false" customHeight="true" outlineLevel="0" collapsed="false">
      <c r="B19" s="24" t="s">
        <v>162</v>
      </c>
      <c r="C19" s="1"/>
      <c r="D19" s="1"/>
      <c r="E19" s="1"/>
      <c r="F19" s="1"/>
      <c r="G19" s="1"/>
      <c r="H19" s="1"/>
      <c r="I19" s="1"/>
    </row>
    <row r="20" customFormat="false" ht="64.15" hidden="false" customHeight="false" outlineLevel="0" collapsed="false">
      <c r="B20" s="29" t="s">
        <v>163</v>
      </c>
      <c r="C20" s="30" t="n">
        <f aca="false">(Inputs!$C$13-((Inputs!$C$20*Inputs!$C$41/Inputs!$C$18-Inputs!$C$42-Inputs!$C$43+Inputs!$C$19/Inputs!$C$18*Inputs!$C$40*(1-'Fiscal Terms'!$C$5))*(1-'Fiscal Terms'!$C$10)*Inputs!$C$21+(Inputs!$C$9+Inputs!$C$45)*(1-'Fiscal Terms'!$C$11)-(Inputs!$C$10-Inputs!$C$43*Inputs!$C$21)-Inputs!$C$47))/(Inputs!$C$19/Inputs!$C$18*(1-'Fiscal Terms'!$C$5)*(1-'Fiscal Terms'!$C$10)*Inputs!$C$21)</f>
        <v>68.3426088397208</v>
      </c>
      <c r="I20" s="28" t="s">
        <v>164</v>
      </c>
    </row>
    <row r="21" customFormat="false" ht="15" hidden="false" customHeight="false" outlineLevel="0" collapsed="false">
      <c r="B21" s="20" t="s">
        <v>165</v>
      </c>
      <c r="C21" s="30" t="n">
        <f aca="false">-((Inputs!$C$20*Inputs!$C$41/Inputs!$C$18-Inputs!$C$42-Inputs!$C$43+Inputs!$C$19/Inputs!$C$18*Inputs!$C$40*(1-'Fiscal Terms'!$C$5))*(1-'Fiscal Terms'!$C$10)*Inputs!$C$21+(Inputs!$C$9+Inputs!$C$45)*(1-'Fiscal Terms'!$C$11)-(Inputs!$C$10-Inputs!$C$43*Inputs!$C$21)-Inputs!$C$47)/(Inputs!$C$19/Inputs!$C$18*(1-'Fiscal Terms'!$C$5)*(1-'Fiscal Terms'!$C$10)*Inputs!$C$21)</f>
        <v>15.6266050140451</v>
      </c>
    </row>
    <row r="22" customFormat="false" ht="85.05" hidden="false" customHeight="false" outlineLevel="0" collapsed="false">
      <c r="B22" s="29" t="s">
        <v>166</v>
      </c>
      <c r="C22" s="36" t="n">
        <f aca="false">IF(((Inputs!$C$34+Inputs!$C$27+Inputs!$C$28-NAV!$C$23-NAV!$C$24)/NAV!$C$16)&lt;=(((Inputs!$C$19*('Fiscal Terms'!$C$6+Inputs!$C$40)+Inputs!$C$20*Inputs!$C$41)/Inputs!$C$18-(MIN('Fiscal Terms'!$C$6+Inputs!$C$40,'Fiscal Terms'!$C$6)*'Fiscal Terms'!$C$5+MAX(0,MIN('Fiscal Terms'!$C$6+Inputs!$C$40,'Fiscal Terms'!$C$8)-'Fiscal Terms'!$C$6)*'Fiscal Terms'!$C$7+MAX(0,'Fiscal Terms'!$C$6+Inputs!$C$40-'Fiscal Terms'!$C$8)*'Fiscal Terms'!$C$9)*Inputs!$C$19/Inputs!$C$18-Inputs!$C$42-Inputs!$C$43)*(1-'Fiscal Terms'!$C$10)*Inputs!$C$21),('Fiscal Terms'!$C$6-((((Inputs!$C$19*('Fiscal Terms'!$C$6+Inputs!$C$40)+Inputs!$C$20*Inputs!$C$41)/Inputs!$C$18-(MIN('Fiscal Terms'!$C$6+Inputs!$C$40,'Fiscal Terms'!$C$6)*'Fiscal Terms'!$C$5+MAX(0,MIN('Fiscal Terms'!$C$6+Inputs!$C$40,'Fiscal Terms'!$C$8)-'Fiscal Terms'!$C$6)*'Fiscal Terms'!$C$7+MAX(0,'Fiscal Terms'!$C$6+Inputs!$C$40-'Fiscal Terms'!$C$8)*'Fiscal Terms'!$C$9)*Inputs!$C$19/Inputs!$C$18-Inputs!$C$42-Inputs!$C$43)*(1-'Fiscal Terms'!$C$10)*Inputs!$C$21)-((Inputs!$C$34+Inputs!$C$27+Inputs!$C$28-NAV!$C$23-NAV!$C$24)/NAV!$C$16))/(Inputs!$C$19/Inputs!$C$18*(1-'Fiscal Terms'!$C$5)*(1-'Fiscal Terms'!$C$10)*Inputs!$C$21)),IF(((Inputs!$C$34+Inputs!$C$27+Inputs!$C$28-NAV!$C$23-NAV!$C$24)/NAV!$C$16)&lt;=(((Inputs!$C$19*('Fiscal Terms'!$C$8+Inputs!$C$40)+Inputs!$C$20*Inputs!$C$41)/Inputs!$C$18-(MIN('Fiscal Terms'!$C$8+Inputs!$C$40,'Fiscal Terms'!$C$6)*'Fiscal Terms'!$C$5+MAX(0,MIN('Fiscal Terms'!$C$8+Inputs!$C$40,'Fiscal Terms'!$C$8)-'Fiscal Terms'!$C$6)*'Fiscal Terms'!$C$7+MAX(0,'Fiscal Terms'!$C$8+Inputs!$C$40-'Fiscal Terms'!$C$8)*'Fiscal Terms'!$C$9)*Inputs!$C$19/Inputs!$C$18-Inputs!$C$42-Inputs!$C$43)*(1-'Fiscal Terms'!$C$10)*Inputs!$C$21),('Fiscal Terms'!$C$6+(((Inputs!$C$34+Inputs!$C$27+Inputs!$C$28-NAV!$C$23-NAV!$C$24)/NAV!$C$16)-(((Inputs!$C$19*('Fiscal Terms'!$C$6+Inputs!$C$40)+Inputs!$C$20*Inputs!$C$41)/Inputs!$C$18-(MIN('Fiscal Terms'!$C$6+Inputs!$C$40,'Fiscal Terms'!$C$6)*'Fiscal Terms'!$C$5+MAX(0,MIN('Fiscal Terms'!$C$6+Inputs!$C$40,'Fiscal Terms'!$C$8)-'Fiscal Terms'!$C$6)*'Fiscal Terms'!$C$7+MAX(0,'Fiscal Terms'!$C$6+Inputs!$C$40-'Fiscal Terms'!$C$8)*'Fiscal Terms'!$C$9)*Inputs!$C$19/Inputs!$C$18-Inputs!$C$42-Inputs!$C$43)*(1-'Fiscal Terms'!$C$10)*Inputs!$C$21))/(Inputs!$C$19/Inputs!$C$18*(1-'Fiscal Terms'!$C$7)*(1-'Fiscal Terms'!$C$10)*Inputs!$C$21)),('Fiscal Terms'!$C$8+(((Inputs!$C$34+Inputs!$C$27+Inputs!$C$28-NAV!$C$23-NAV!$C$24)/NAV!$C$16)-(((Inputs!$C$19*('Fiscal Terms'!$C$8+Inputs!$C$40)+Inputs!$C$20*Inputs!$C$41)/Inputs!$C$18-(MIN('Fiscal Terms'!$C$8+Inputs!$C$40,'Fiscal Terms'!$C$6)*'Fiscal Terms'!$C$5+MAX(0,MIN('Fiscal Terms'!$C$8+Inputs!$C$40,'Fiscal Terms'!$C$8)-'Fiscal Terms'!$C$6)*'Fiscal Terms'!$C$7+MAX(0,'Fiscal Terms'!$C$8+Inputs!$C$40-'Fiscal Terms'!$C$8)*'Fiscal Terms'!$C$9)*Inputs!$C$19/Inputs!$C$18-Inputs!$C$42-Inputs!$C$43)*(1-'Fiscal Terms'!$C$10)*Inputs!$C$21))/(Inputs!$C$19/Inputs!$C$18*(1-'Fiscal Terms'!$C$9)*(1-'Fiscal Terms'!$C$10)*Inputs!$C$21))))</f>
        <v>118.402251803657</v>
      </c>
      <c r="I22" s="28" t="s">
        <v>167</v>
      </c>
    </row>
    <row r="23" customFormat="false" ht="116.4" hidden="false" customHeight="false" outlineLevel="0" collapsed="false">
      <c r="B23" s="29" t="s">
        <v>168</v>
      </c>
      <c r="C23" s="32" t="n">
        <f aca="false">(NAV!$C$15-Inputs!$C$47)/(Inputs!$C$34+Inputs!$C$27+Inputs!$C$28-NAV!$C$23)</f>
        <v>0.056881591229585</v>
      </c>
      <c r="I23" s="28" t="s">
        <v>169</v>
      </c>
    </row>
    <row r="24" customFormat="false" ht="43.5" hidden="false" customHeight="true" outlineLevel="0" collapsed="false">
      <c r="B24" s="19" t="s">
        <v>170</v>
      </c>
      <c r="C24" s="19"/>
      <c r="D24" s="19"/>
      <c r="E24" s="19"/>
      <c r="F24" s="19"/>
      <c r="G24" s="19"/>
      <c r="H24" s="19"/>
      <c r="I24" s="19"/>
    </row>
  </sheetData>
  <mergeCells count="1">
    <mergeCell ref="B24:I24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Sensitivity&amp;R&amp;"Arial,Regular"&amp;8Price Deck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3.5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1"/>
      <c r="F1" s="1"/>
      <c r="G1" s="1"/>
      <c r="H1" s="22" t="s">
        <v>39</v>
      </c>
    </row>
    <row r="2" customFormat="false" ht="18" hidden="false" customHeight="true" outlineLevel="0" collapsed="false">
      <c r="A2" s="1"/>
      <c r="B2" s="23" t="s">
        <v>171</v>
      </c>
      <c r="C2" s="1"/>
      <c r="D2" s="1"/>
      <c r="E2" s="1"/>
      <c r="F2" s="1"/>
      <c r="G2" s="1"/>
      <c r="H2" s="1"/>
    </row>
    <row r="4" customFormat="false" ht="15.75" hidden="false" customHeight="true" outlineLevel="0" collapsed="false">
      <c r="B4" s="24" t="s">
        <v>172</v>
      </c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B5" s="29" t="s">
        <v>173</v>
      </c>
      <c r="C5" s="44" t="n">
        <v>0.07</v>
      </c>
      <c r="D5" s="44" t="n">
        <v>0.075</v>
      </c>
      <c r="E5" s="44" t="n">
        <v>0.08</v>
      </c>
      <c r="F5" s="44" t="n">
        <v>0.085</v>
      </c>
      <c r="G5" s="44" t="n">
        <v>0.09</v>
      </c>
    </row>
    <row r="6" customFormat="false" ht="15" hidden="false" customHeight="false" outlineLevel="0" collapsed="false">
      <c r="B6" s="45" t="n">
        <v>55</v>
      </c>
      <c r="C6" s="30" t="n">
        <f aca="false">((((Inputs!$C$19*($B6+Inputs!$C$40)+Inputs!$C$20*Inputs!$C$41)/Inputs!$C$18-(MIN($B6+Inputs!$C$40,'Fiscal Terms'!$C$6)*'Fiscal Terms'!$C$5+MAX(0,MIN($B6+Inputs!$C$40,'Fiscal Terms'!$C$8)-'Fiscal Terms'!$C$6)*'Fiscal Terms'!$C$7+MAX(0,$B6+Inputs!$C$40-'Fiscal Terms'!$C$8)*'Fiscal Terms'!$C$9)*Inputs!$C$19/Inputs!$C$18-Inputs!$C$42-Inputs!$C$43)*(1-'Fiscal Terms'!$C$10))*Inputs!$C$21*((1-(1+C$5)^-Inputs!$C$22)/C$5)+NAV!$C$23+NAV!$C$24-Inputs!$C$27-Inputs!$C$28)*Inputs!$C$5/Inputs!$C$33</f>
        <v>15.0565235370791</v>
      </c>
      <c r="D6" s="30" t="n">
        <f aca="false">((((Inputs!$C$19*($B6+Inputs!$C$40)+Inputs!$C$20*Inputs!$C$41)/Inputs!$C$18-(MIN($B6+Inputs!$C$40,'Fiscal Terms'!$C$6)*'Fiscal Terms'!$C$5+MAX(0,MIN($B6+Inputs!$C$40,'Fiscal Terms'!$C$8)-'Fiscal Terms'!$C$6)*'Fiscal Terms'!$C$7+MAX(0,$B6+Inputs!$C$40-'Fiscal Terms'!$C$8)*'Fiscal Terms'!$C$9)*Inputs!$C$19/Inputs!$C$18-Inputs!$C$42-Inputs!$C$43)*(1-'Fiscal Terms'!$C$10))*Inputs!$C$21*((1-(1+D$5)^-Inputs!$C$22)/D$5)+NAV!$C$23+NAV!$C$24-Inputs!$C$27-Inputs!$C$28)*Inputs!$C$5/Inputs!$C$33</f>
        <v>14.1396006800141</v>
      </c>
      <c r="E6" s="30" t="n">
        <f aca="false">((((Inputs!$C$19*($B6+Inputs!$C$40)+Inputs!$C$20*Inputs!$C$41)/Inputs!$C$18-(MIN($B6+Inputs!$C$40,'Fiscal Terms'!$C$6)*'Fiscal Terms'!$C$5+MAX(0,MIN($B6+Inputs!$C$40,'Fiscal Terms'!$C$8)-'Fiscal Terms'!$C$6)*'Fiscal Terms'!$C$7+MAX(0,$B6+Inputs!$C$40-'Fiscal Terms'!$C$8)*'Fiscal Terms'!$C$9)*Inputs!$C$19/Inputs!$C$18-Inputs!$C$42-Inputs!$C$43)*(1-'Fiscal Terms'!$C$10))*Inputs!$C$21*((1-(1+E$5)^-Inputs!$C$22)/E$5)+NAV!$C$23+NAV!$C$24-Inputs!$C$27-Inputs!$C$28)*Inputs!$C$5/Inputs!$C$33</f>
        <v>13.3186327403279</v>
      </c>
      <c r="F6" s="30" t="n">
        <f aca="false">((((Inputs!$C$19*($B6+Inputs!$C$40)+Inputs!$C$20*Inputs!$C$41)/Inputs!$C$18-(MIN($B6+Inputs!$C$40,'Fiscal Terms'!$C$6)*'Fiscal Terms'!$C$5+MAX(0,MIN($B6+Inputs!$C$40,'Fiscal Terms'!$C$8)-'Fiscal Terms'!$C$6)*'Fiscal Terms'!$C$7+MAX(0,$B6+Inputs!$C$40-'Fiscal Terms'!$C$8)*'Fiscal Terms'!$C$9)*Inputs!$C$19/Inputs!$C$18-Inputs!$C$42-Inputs!$C$43)*(1-'Fiscal Terms'!$C$10))*Inputs!$C$21*((1-(1+F$5)^-Inputs!$C$22)/F$5)+NAV!$C$23+NAV!$C$24-Inputs!$C$27-Inputs!$C$28)*Inputs!$C$5/Inputs!$C$33</f>
        <v>12.5806117222551</v>
      </c>
      <c r="G6" s="30" t="n">
        <f aca="false">((((Inputs!$C$19*($B6+Inputs!$C$40)+Inputs!$C$20*Inputs!$C$41)/Inputs!$C$18-(MIN($B6+Inputs!$C$40,'Fiscal Terms'!$C$6)*'Fiscal Terms'!$C$5+MAX(0,MIN($B6+Inputs!$C$40,'Fiscal Terms'!$C$8)-'Fiscal Terms'!$C$6)*'Fiscal Terms'!$C$7+MAX(0,$B6+Inputs!$C$40-'Fiscal Terms'!$C$8)*'Fiscal Terms'!$C$9)*Inputs!$C$19/Inputs!$C$18-Inputs!$C$42-Inputs!$C$43)*(1-'Fiscal Terms'!$C$10))*Inputs!$C$21*((1-(1+G$5)^-Inputs!$C$22)/G$5)+NAV!$C$23+NAV!$C$24-Inputs!$C$27-Inputs!$C$28)*Inputs!$C$5/Inputs!$C$33</f>
        <v>11.9145800606595</v>
      </c>
    </row>
    <row r="7" customFormat="false" ht="15" hidden="false" customHeight="false" outlineLevel="0" collapsed="false">
      <c r="B7" s="45" t="n">
        <v>62.5</v>
      </c>
      <c r="C7" s="30" t="n">
        <f aca="false">((((Inputs!$C$19*($B7+Inputs!$C$40)+Inputs!$C$20*Inputs!$C$41)/Inputs!$C$18-(MIN($B7+Inputs!$C$40,'Fiscal Terms'!$C$6)*'Fiscal Terms'!$C$5+MAX(0,MIN($B7+Inputs!$C$40,'Fiscal Terms'!$C$8)-'Fiscal Terms'!$C$6)*'Fiscal Terms'!$C$7+MAX(0,$B7+Inputs!$C$40-'Fiscal Terms'!$C$8)*'Fiscal Terms'!$C$9)*Inputs!$C$19/Inputs!$C$18-Inputs!$C$42-Inputs!$C$43)*(1-'Fiscal Terms'!$C$10))*Inputs!$C$21*((1-(1+C$5)^-Inputs!$C$22)/C$5)+NAV!$C$23+NAV!$C$24-Inputs!$C$27-Inputs!$C$28)*Inputs!$C$5/Inputs!$C$33</f>
        <v>17.7343390069566</v>
      </c>
      <c r="D7" s="30" t="n">
        <f aca="false">((((Inputs!$C$19*($B7+Inputs!$C$40)+Inputs!$C$20*Inputs!$C$41)/Inputs!$C$18-(MIN($B7+Inputs!$C$40,'Fiscal Terms'!$C$6)*'Fiscal Terms'!$C$5+MAX(0,MIN($B7+Inputs!$C$40,'Fiscal Terms'!$C$8)-'Fiscal Terms'!$C$6)*'Fiscal Terms'!$C$7+MAX(0,$B7+Inputs!$C$40-'Fiscal Terms'!$C$8)*'Fiscal Terms'!$C$9)*Inputs!$C$19/Inputs!$C$18-Inputs!$C$42-Inputs!$C$43)*(1-'Fiscal Terms'!$C$10))*Inputs!$C$21*((1-(1+D$5)^-Inputs!$C$22)/D$5)+NAV!$C$23+NAV!$C$24-Inputs!$C$27-Inputs!$C$28)*Inputs!$C$5/Inputs!$C$33</f>
        <v>16.6549072823695</v>
      </c>
      <c r="E7" s="30" t="n">
        <f aca="false">((((Inputs!$C$19*($B7+Inputs!$C$40)+Inputs!$C$20*Inputs!$C$41)/Inputs!$C$18-(MIN($B7+Inputs!$C$40,'Fiscal Terms'!$C$6)*'Fiscal Terms'!$C$5+MAX(0,MIN($B7+Inputs!$C$40,'Fiscal Terms'!$C$8)-'Fiscal Terms'!$C$6)*'Fiscal Terms'!$C$7+MAX(0,$B7+Inputs!$C$40-'Fiscal Terms'!$C$8)*'Fiscal Terms'!$C$9)*Inputs!$C$19/Inputs!$C$18-Inputs!$C$42-Inputs!$C$43)*(1-'Fiscal Terms'!$C$10))*Inputs!$C$21*((1-(1+E$5)^-Inputs!$C$22)/E$5)+NAV!$C$23+NAV!$C$24-Inputs!$C$27-Inputs!$C$28)*Inputs!$C$5/Inputs!$C$33</f>
        <v>15.6884368403492</v>
      </c>
      <c r="F7" s="30" t="n">
        <f aca="false">((((Inputs!$C$19*($B7+Inputs!$C$40)+Inputs!$C$20*Inputs!$C$41)/Inputs!$C$18-(MIN($B7+Inputs!$C$40,'Fiscal Terms'!$C$6)*'Fiscal Terms'!$C$5+MAX(0,MIN($B7+Inputs!$C$40,'Fiscal Terms'!$C$8)-'Fiscal Terms'!$C$6)*'Fiscal Terms'!$C$7+MAX(0,$B7+Inputs!$C$40-'Fiscal Terms'!$C$8)*'Fiscal Terms'!$C$9)*Inputs!$C$19/Inputs!$C$18-Inputs!$C$42-Inputs!$C$43)*(1-'Fiscal Terms'!$C$10))*Inputs!$C$21*((1-(1+F$5)^-Inputs!$C$22)/F$5)+NAV!$C$23+NAV!$C$24-Inputs!$C$27-Inputs!$C$28)*Inputs!$C$5/Inputs!$C$33</f>
        <v>14.8196142407362</v>
      </c>
      <c r="G7" s="30" t="n">
        <f aca="false">((((Inputs!$C$19*($B7+Inputs!$C$40)+Inputs!$C$20*Inputs!$C$41)/Inputs!$C$18-(MIN($B7+Inputs!$C$40,'Fiscal Terms'!$C$6)*'Fiscal Terms'!$C$5+MAX(0,MIN($B7+Inputs!$C$40,'Fiscal Terms'!$C$8)-'Fiscal Terms'!$C$6)*'Fiscal Terms'!$C$7+MAX(0,$B7+Inputs!$C$40-'Fiscal Terms'!$C$8)*'Fiscal Terms'!$C$9)*Inputs!$C$19/Inputs!$C$18-Inputs!$C$42-Inputs!$C$43)*(1-'Fiscal Terms'!$C$10))*Inputs!$C$21*((1-(1+G$5)^-Inputs!$C$22)/G$5)+NAV!$C$23+NAV!$C$24-Inputs!$C$27-Inputs!$C$28)*Inputs!$C$5/Inputs!$C$33</f>
        <v>14.0355398777009</v>
      </c>
    </row>
    <row r="8" customFormat="false" ht="15" hidden="false" customHeight="false" outlineLevel="0" collapsed="false">
      <c r="B8" s="45" t="n">
        <v>70</v>
      </c>
      <c r="C8" s="30" t="n">
        <f aca="false">((((Inputs!$C$19*($B8+Inputs!$C$40)+Inputs!$C$20*Inputs!$C$41)/Inputs!$C$18-(MIN($B8+Inputs!$C$40,'Fiscal Terms'!$C$6)*'Fiscal Terms'!$C$5+MAX(0,MIN($B8+Inputs!$C$40,'Fiscal Terms'!$C$8)-'Fiscal Terms'!$C$6)*'Fiscal Terms'!$C$7+MAX(0,$B8+Inputs!$C$40-'Fiscal Terms'!$C$8)*'Fiscal Terms'!$C$9)*Inputs!$C$19/Inputs!$C$18-Inputs!$C$42-Inputs!$C$43)*(1-'Fiscal Terms'!$C$10))*Inputs!$C$21*((1-(1+C$5)^-Inputs!$C$22)/C$5)+NAV!$C$23+NAV!$C$24-Inputs!$C$27-Inputs!$C$28)*Inputs!$C$5/Inputs!$C$33</f>
        <v>20.4121544768341</v>
      </c>
      <c r="D8" s="30" t="n">
        <f aca="false">((((Inputs!$C$19*($B8+Inputs!$C$40)+Inputs!$C$20*Inputs!$C$41)/Inputs!$C$18-(MIN($B8+Inputs!$C$40,'Fiscal Terms'!$C$6)*'Fiscal Terms'!$C$5+MAX(0,MIN($B8+Inputs!$C$40,'Fiscal Terms'!$C$8)-'Fiscal Terms'!$C$6)*'Fiscal Terms'!$C$7+MAX(0,$B8+Inputs!$C$40-'Fiscal Terms'!$C$8)*'Fiscal Terms'!$C$9)*Inputs!$C$19/Inputs!$C$18-Inputs!$C$42-Inputs!$C$43)*(1-'Fiscal Terms'!$C$10))*Inputs!$C$21*((1-(1+D$5)^-Inputs!$C$22)/D$5)+NAV!$C$23+NAV!$C$24-Inputs!$C$27-Inputs!$C$28)*Inputs!$C$5/Inputs!$C$33</f>
        <v>19.1702138847249</v>
      </c>
      <c r="E8" s="46" t="n">
        <f aca="false">((((Inputs!$C$19*($B8+Inputs!$C$40)+Inputs!$C$20*Inputs!$C$41)/Inputs!$C$18-(MIN($B8+Inputs!$C$40,'Fiscal Terms'!$C$6)*'Fiscal Terms'!$C$5+MAX(0,MIN($B8+Inputs!$C$40,'Fiscal Terms'!$C$8)-'Fiscal Terms'!$C$6)*'Fiscal Terms'!$C$7+MAX(0,$B8+Inputs!$C$40-'Fiscal Terms'!$C$8)*'Fiscal Terms'!$C$9)*Inputs!$C$19/Inputs!$C$18-Inputs!$C$42-Inputs!$C$43)*(1-'Fiscal Terms'!$C$10))*Inputs!$C$21*((1-(1+E$5)^-Inputs!$C$22)/E$5)+NAV!$C$23+NAV!$C$24-Inputs!$C$27-Inputs!$C$28)*Inputs!$C$5/Inputs!$C$33</f>
        <v>18.0582409403705</v>
      </c>
      <c r="F8" s="30" t="n">
        <f aca="false">((((Inputs!$C$19*($B8+Inputs!$C$40)+Inputs!$C$20*Inputs!$C$41)/Inputs!$C$18-(MIN($B8+Inputs!$C$40,'Fiscal Terms'!$C$6)*'Fiscal Terms'!$C$5+MAX(0,MIN($B8+Inputs!$C$40,'Fiscal Terms'!$C$8)-'Fiscal Terms'!$C$6)*'Fiscal Terms'!$C$7+MAX(0,$B8+Inputs!$C$40-'Fiscal Terms'!$C$8)*'Fiscal Terms'!$C$9)*Inputs!$C$19/Inputs!$C$18-Inputs!$C$42-Inputs!$C$43)*(1-'Fiscal Terms'!$C$10))*Inputs!$C$21*((1-(1+F$5)^-Inputs!$C$22)/F$5)+NAV!$C$23+NAV!$C$24-Inputs!$C$27-Inputs!$C$28)*Inputs!$C$5/Inputs!$C$33</f>
        <v>17.0586167592173</v>
      </c>
      <c r="G8" s="30" t="n">
        <f aca="false">((((Inputs!$C$19*($B8+Inputs!$C$40)+Inputs!$C$20*Inputs!$C$41)/Inputs!$C$18-(MIN($B8+Inputs!$C$40,'Fiscal Terms'!$C$6)*'Fiscal Terms'!$C$5+MAX(0,MIN($B8+Inputs!$C$40,'Fiscal Terms'!$C$8)-'Fiscal Terms'!$C$6)*'Fiscal Terms'!$C$7+MAX(0,$B8+Inputs!$C$40-'Fiscal Terms'!$C$8)*'Fiscal Terms'!$C$9)*Inputs!$C$19/Inputs!$C$18-Inputs!$C$42-Inputs!$C$43)*(1-'Fiscal Terms'!$C$10))*Inputs!$C$21*((1-(1+G$5)^-Inputs!$C$22)/G$5)+NAV!$C$23+NAV!$C$24-Inputs!$C$27-Inputs!$C$28)*Inputs!$C$5/Inputs!$C$33</f>
        <v>16.1564996947424</v>
      </c>
    </row>
    <row r="9" customFormat="false" ht="15" hidden="false" customHeight="false" outlineLevel="0" collapsed="false">
      <c r="B9" s="45" t="n">
        <v>77.5</v>
      </c>
      <c r="C9" s="30" t="n">
        <f aca="false">((((Inputs!$C$19*($B9+Inputs!$C$40)+Inputs!$C$20*Inputs!$C$41)/Inputs!$C$18-(MIN($B9+Inputs!$C$40,'Fiscal Terms'!$C$6)*'Fiscal Terms'!$C$5+MAX(0,MIN($B9+Inputs!$C$40,'Fiscal Terms'!$C$8)-'Fiscal Terms'!$C$6)*'Fiscal Terms'!$C$7+MAX(0,$B9+Inputs!$C$40-'Fiscal Terms'!$C$8)*'Fiscal Terms'!$C$9)*Inputs!$C$19/Inputs!$C$18-Inputs!$C$42-Inputs!$C$43)*(1-'Fiscal Terms'!$C$10))*Inputs!$C$21*((1-(1+C$5)^-Inputs!$C$22)/C$5)+NAV!$C$23+NAV!$C$24-Inputs!$C$27-Inputs!$C$28)*Inputs!$C$5/Inputs!$C$33</f>
        <v>22.1448586044019</v>
      </c>
      <c r="D9" s="30" t="n">
        <f aca="false">((((Inputs!$C$19*($B9+Inputs!$C$40)+Inputs!$C$20*Inputs!$C$41)/Inputs!$C$18-(MIN($B9+Inputs!$C$40,'Fiscal Terms'!$C$6)*'Fiscal Terms'!$C$5+MAX(0,MIN($B9+Inputs!$C$40,'Fiscal Terms'!$C$8)-'Fiscal Terms'!$C$6)*'Fiscal Terms'!$C$7+MAX(0,$B9+Inputs!$C$40-'Fiscal Terms'!$C$8)*'Fiscal Terms'!$C$9)*Inputs!$C$19/Inputs!$C$18-Inputs!$C$42-Inputs!$C$43)*(1-'Fiscal Terms'!$C$10))*Inputs!$C$21*((1-(1+D$5)^-Inputs!$C$22)/D$5)+NAV!$C$23+NAV!$C$24-Inputs!$C$27-Inputs!$C$28)*Inputs!$C$5/Inputs!$C$33</f>
        <v>20.7977652156608</v>
      </c>
      <c r="E9" s="30" t="n">
        <f aca="false">((((Inputs!$C$19*($B9+Inputs!$C$40)+Inputs!$C$20*Inputs!$C$41)/Inputs!$C$18-(MIN($B9+Inputs!$C$40,'Fiscal Terms'!$C$6)*'Fiscal Terms'!$C$5+MAX(0,MIN($B9+Inputs!$C$40,'Fiscal Terms'!$C$8)-'Fiscal Terms'!$C$6)*'Fiscal Terms'!$C$7+MAX(0,$B9+Inputs!$C$40-'Fiscal Terms'!$C$8)*'Fiscal Terms'!$C$9)*Inputs!$C$19/Inputs!$C$18-Inputs!$C$42-Inputs!$C$43)*(1-'Fiscal Terms'!$C$10))*Inputs!$C$21*((1-(1+E$5)^-Inputs!$C$22)/E$5)+NAV!$C$23+NAV!$C$24-Inputs!$C$27-Inputs!$C$28)*Inputs!$C$5/Inputs!$C$33</f>
        <v>19.5916435933255</v>
      </c>
      <c r="F9" s="30" t="n">
        <f aca="false">((((Inputs!$C$19*($B9+Inputs!$C$40)+Inputs!$C$20*Inputs!$C$41)/Inputs!$C$18-(MIN($B9+Inputs!$C$40,'Fiscal Terms'!$C$6)*'Fiscal Terms'!$C$5+MAX(0,MIN($B9+Inputs!$C$40,'Fiscal Terms'!$C$8)-'Fiscal Terms'!$C$6)*'Fiscal Terms'!$C$7+MAX(0,$B9+Inputs!$C$40-'Fiscal Terms'!$C$8)*'Fiscal Terms'!$C$9)*Inputs!$C$19/Inputs!$C$18-Inputs!$C$42-Inputs!$C$43)*(1-'Fiscal Terms'!$C$10))*Inputs!$C$21*((1-(1+F$5)^-Inputs!$C$22)/F$5)+NAV!$C$23+NAV!$C$24-Inputs!$C$27-Inputs!$C$28)*Inputs!$C$5/Inputs!$C$33</f>
        <v>18.5073830947051</v>
      </c>
      <c r="G9" s="30" t="n">
        <f aca="false">((((Inputs!$C$19*($B9+Inputs!$C$40)+Inputs!$C$20*Inputs!$C$41)/Inputs!$C$18-(MIN($B9+Inputs!$C$40,'Fiscal Terms'!$C$6)*'Fiscal Terms'!$C$5+MAX(0,MIN($B9+Inputs!$C$40,'Fiscal Terms'!$C$8)-'Fiscal Terms'!$C$6)*'Fiscal Terms'!$C$7+MAX(0,$B9+Inputs!$C$40-'Fiscal Terms'!$C$8)*'Fiscal Terms'!$C$9)*Inputs!$C$19/Inputs!$C$18-Inputs!$C$42-Inputs!$C$43)*(1-'Fiscal Terms'!$C$10))*Inputs!$C$21*((1-(1+G$5)^-Inputs!$C$22)/G$5)+NAV!$C$23+NAV!$C$24-Inputs!$C$27-Inputs!$C$28)*Inputs!$C$5/Inputs!$C$33</f>
        <v>17.5288854587104</v>
      </c>
    </row>
    <row r="10" customFormat="false" ht="15" hidden="false" customHeight="false" outlineLevel="0" collapsed="false">
      <c r="B10" s="45" t="n">
        <v>85</v>
      </c>
      <c r="C10" s="30" t="n">
        <f aca="false">((((Inputs!$C$19*($B10+Inputs!$C$40)+Inputs!$C$20*Inputs!$C$41)/Inputs!$C$18-(MIN($B10+Inputs!$C$40,'Fiscal Terms'!$C$6)*'Fiscal Terms'!$C$5+MAX(0,MIN($B10+Inputs!$C$40,'Fiscal Terms'!$C$8)-'Fiscal Terms'!$C$6)*'Fiscal Terms'!$C$7+MAX(0,$B10+Inputs!$C$40-'Fiscal Terms'!$C$8)*'Fiscal Terms'!$C$9)*Inputs!$C$19/Inputs!$C$18-Inputs!$C$42-Inputs!$C$43)*(1-'Fiscal Terms'!$C$10))*Inputs!$C$21*((1-(1+C$5)^-Inputs!$C$22)/C$5)+NAV!$C$23+NAV!$C$24-Inputs!$C$27-Inputs!$C$28)*Inputs!$C$5/Inputs!$C$33</f>
        <v>23.8775627319696</v>
      </c>
      <c r="D10" s="30" t="n">
        <f aca="false">((((Inputs!$C$19*($B10+Inputs!$C$40)+Inputs!$C$20*Inputs!$C$41)/Inputs!$C$18-(MIN($B10+Inputs!$C$40,'Fiscal Terms'!$C$6)*'Fiscal Terms'!$C$5+MAX(0,MIN($B10+Inputs!$C$40,'Fiscal Terms'!$C$8)-'Fiscal Terms'!$C$6)*'Fiscal Terms'!$C$7+MAX(0,$B10+Inputs!$C$40-'Fiscal Terms'!$C$8)*'Fiscal Terms'!$C$9)*Inputs!$C$19/Inputs!$C$18-Inputs!$C$42-Inputs!$C$43)*(1-'Fiscal Terms'!$C$10))*Inputs!$C$21*((1-(1+D$5)^-Inputs!$C$22)/D$5)+NAV!$C$23+NAV!$C$24-Inputs!$C$27-Inputs!$C$28)*Inputs!$C$5/Inputs!$C$33</f>
        <v>22.4253165465966</v>
      </c>
      <c r="E10" s="30" t="n">
        <f aca="false">((((Inputs!$C$19*($B10+Inputs!$C$40)+Inputs!$C$20*Inputs!$C$41)/Inputs!$C$18-(MIN($B10+Inputs!$C$40,'Fiscal Terms'!$C$6)*'Fiscal Terms'!$C$5+MAX(0,MIN($B10+Inputs!$C$40,'Fiscal Terms'!$C$8)-'Fiscal Terms'!$C$6)*'Fiscal Terms'!$C$7+MAX(0,$B10+Inputs!$C$40-'Fiscal Terms'!$C$8)*'Fiscal Terms'!$C$9)*Inputs!$C$19/Inputs!$C$18-Inputs!$C$42-Inputs!$C$43)*(1-'Fiscal Terms'!$C$10))*Inputs!$C$21*((1-(1+E$5)^-Inputs!$C$22)/E$5)+NAV!$C$23+NAV!$C$24-Inputs!$C$27-Inputs!$C$28)*Inputs!$C$5/Inputs!$C$33</f>
        <v>21.1250462462804</v>
      </c>
      <c r="F10" s="30" t="n">
        <f aca="false">((((Inputs!$C$19*($B10+Inputs!$C$40)+Inputs!$C$20*Inputs!$C$41)/Inputs!$C$18-(MIN($B10+Inputs!$C$40,'Fiscal Terms'!$C$6)*'Fiscal Terms'!$C$5+MAX(0,MIN($B10+Inputs!$C$40,'Fiscal Terms'!$C$8)-'Fiscal Terms'!$C$6)*'Fiscal Terms'!$C$7+MAX(0,$B10+Inputs!$C$40-'Fiscal Terms'!$C$8)*'Fiscal Terms'!$C$9)*Inputs!$C$19/Inputs!$C$18-Inputs!$C$42-Inputs!$C$43)*(1-'Fiscal Terms'!$C$10))*Inputs!$C$21*((1-(1+F$5)^-Inputs!$C$22)/F$5)+NAV!$C$23+NAV!$C$24-Inputs!$C$27-Inputs!$C$28)*Inputs!$C$5/Inputs!$C$33</f>
        <v>19.9561494301929</v>
      </c>
      <c r="G10" s="30" t="n">
        <f aca="false">((((Inputs!$C$19*($B10+Inputs!$C$40)+Inputs!$C$20*Inputs!$C$41)/Inputs!$C$18-(MIN($B10+Inputs!$C$40,'Fiscal Terms'!$C$6)*'Fiscal Terms'!$C$5+MAX(0,MIN($B10+Inputs!$C$40,'Fiscal Terms'!$C$8)-'Fiscal Terms'!$C$6)*'Fiscal Terms'!$C$7+MAX(0,$B10+Inputs!$C$40-'Fiscal Terms'!$C$8)*'Fiscal Terms'!$C$9)*Inputs!$C$19/Inputs!$C$18-Inputs!$C$42-Inputs!$C$43)*(1-'Fiscal Terms'!$C$10))*Inputs!$C$21*((1-(1+G$5)^-Inputs!$C$22)/G$5)+NAV!$C$23+NAV!$C$24-Inputs!$C$27-Inputs!$C$28)*Inputs!$C$5/Inputs!$C$33</f>
        <v>18.9012712226783</v>
      </c>
    </row>
    <row r="12" customFormat="false" ht="15.75" hidden="false" customHeight="true" outlineLevel="0" collapsed="false">
      <c r="B12" s="24" t="s">
        <v>174</v>
      </c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B13" s="29" t="s">
        <v>173</v>
      </c>
      <c r="C13" s="47" t="n">
        <v>5.5</v>
      </c>
      <c r="D13" s="47" t="n">
        <v>6.5</v>
      </c>
      <c r="E13" s="47" t="n">
        <v>7.5</v>
      </c>
      <c r="F13" s="47" t="n">
        <v>8.5</v>
      </c>
      <c r="G13" s="47" t="n">
        <v>9.5</v>
      </c>
    </row>
    <row r="14" customFormat="false" ht="15" hidden="false" customHeight="false" outlineLevel="0" collapsed="false">
      <c r="B14" s="45" t="n">
        <v>55</v>
      </c>
      <c r="C14" s="30" t="n">
        <f aca="false">((((Inputs!$C$19*($B14+Inputs!$C$40)+Inputs!$C$20*Inputs!$C$41)/Inputs!$C$18-(MIN($B14+Inputs!$C$40,'Fiscal Terms'!$C$6)*'Fiscal Terms'!$C$5+MAX(0,MIN($B14+Inputs!$C$40,'Fiscal Terms'!$C$8)-'Fiscal Terms'!$C$6)*'Fiscal Terms'!$C$7+MAX(0,$B14+Inputs!$C$40-'Fiscal Terms'!$C$8)*'Fiscal Terms'!$C$9)*Inputs!$C$19/Inputs!$C$18-Inputs!$C$42-C$13)*(1-'Fiscal Terms'!$C$10))*Inputs!$C$21*((1-(1+Inputs!$C$44)^-Inputs!$C$22)/Inputs!$C$44)+NAV!$C$23+NAV!$C$24-Inputs!$C$27-Inputs!$C$28)*Inputs!$C$5/Inputs!$C$33</f>
        <v>14.2149632630408</v>
      </c>
      <c r="D14" s="30" t="n">
        <f aca="false">((((Inputs!$C$19*($B14+Inputs!$C$40)+Inputs!$C$20*Inputs!$C$41)/Inputs!$C$18-(MIN($B14+Inputs!$C$40,'Fiscal Terms'!$C$6)*'Fiscal Terms'!$C$5+MAX(0,MIN($B14+Inputs!$C$40,'Fiscal Terms'!$C$8)-'Fiscal Terms'!$C$6)*'Fiscal Terms'!$C$7+MAX(0,$B14+Inputs!$C$40-'Fiscal Terms'!$C$8)*'Fiscal Terms'!$C$9)*Inputs!$C$19/Inputs!$C$18-Inputs!$C$42-D$13)*(1-'Fiscal Terms'!$C$10))*Inputs!$C$21*((1-(1+Inputs!$C$44)^-Inputs!$C$22)/Inputs!$C$44)+NAV!$C$23+NAV!$C$24-Inputs!$C$27-Inputs!$C$28)*Inputs!$C$5/Inputs!$C$33</f>
        <v>13.7667980016843</v>
      </c>
      <c r="E14" s="30" t="n">
        <f aca="false">((((Inputs!$C$19*($B14+Inputs!$C$40)+Inputs!$C$20*Inputs!$C$41)/Inputs!$C$18-(MIN($B14+Inputs!$C$40,'Fiscal Terms'!$C$6)*'Fiscal Terms'!$C$5+MAX(0,MIN($B14+Inputs!$C$40,'Fiscal Terms'!$C$8)-'Fiscal Terms'!$C$6)*'Fiscal Terms'!$C$7+MAX(0,$B14+Inputs!$C$40-'Fiscal Terms'!$C$8)*'Fiscal Terms'!$C$9)*Inputs!$C$19/Inputs!$C$18-Inputs!$C$42-E$13)*(1-'Fiscal Terms'!$C$10))*Inputs!$C$21*((1-(1+Inputs!$C$44)^-Inputs!$C$22)/Inputs!$C$44)+NAV!$C$23+NAV!$C$24-Inputs!$C$27-Inputs!$C$28)*Inputs!$C$5/Inputs!$C$33</f>
        <v>13.3186327403279</v>
      </c>
      <c r="F14" s="30" t="n">
        <f aca="false">((((Inputs!$C$19*($B14+Inputs!$C$40)+Inputs!$C$20*Inputs!$C$41)/Inputs!$C$18-(MIN($B14+Inputs!$C$40,'Fiscal Terms'!$C$6)*'Fiscal Terms'!$C$5+MAX(0,MIN($B14+Inputs!$C$40,'Fiscal Terms'!$C$8)-'Fiscal Terms'!$C$6)*'Fiscal Terms'!$C$7+MAX(0,$B14+Inputs!$C$40-'Fiscal Terms'!$C$8)*'Fiscal Terms'!$C$9)*Inputs!$C$19/Inputs!$C$18-Inputs!$C$42-F$13)*(1-'Fiscal Terms'!$C$10))*Inputs!$C$21*((1-(1+Inputs!$C$44)^-Inputs!$C$22)/Inputs!$C$44)+NAV!$C$23+NAV!$C$24-Inputs!$C$27-Inputs!$C$28)*Inputs!$C$5/Inputs!$C$33</f>
        <v>12.8704674789715</v>
      </c>
      <c r="G14" s="30" t="n">
        <f aca="false">((((Inputs!$C$19*($B14+Inputs!$C$40)+Inputs!$C$20*Inputs!$C$41)/Inputs!$C$18-(MIN($B14+Inputs!$C$40,'Fiscal Terms'!$C$6)*'Fiscal Terms'!$C$5+MAX(0,MIN($B14+Inputs!$C$40,'Fiscal Terms'!$C$8)-'Fiscal Terms'!$C$6)*'Fiscal Terms'!$C$7+MAX(0,$B14+Inputs!$C$40-'Fiscal Terms'!$C$8)*'Fiscal Terms'!$C$9)*Inputs!$C$19/Inputs!$C$18-Inputs!$C$42-G$13)*(1-'Fiscal Terms'!$C$10))*Inputs!$C$21*((1-(1+Inputs!$C$44)^-Inputs!$C$22)/Inputs!$C$44)+NAV!$C$23+NAV!$C$24-Inputs!$C$27-Inputs!$C$28)*Inputs!$C$5/Inputs!$C$33</f>
        <v>12.4223022176151</v>
      </c>
    </row>
    <row r="15" customFormat="false" ht="15" hidden="false" customHeight="false" outlineLevel="0" collapsed="false">
      <c r="B15" s="45" t="n">
        <v>62.5</v>
      </c>
      <c r="C15" s="30" t="n">
        <f aca="false">((((Inputs!$C$19*($B15+Inputs!$C$40)+Inputs!$C$20*Inputs!$C$41)/Inputs!$C$18-(MIN($B15+Inputs!$C$40,'Fiscal Terms'!$C$6)*'Fiscal Terms'!$C$5+MAX(0,MIN($B15+Inputs!$C$40,'Fiscal Terms'!$C$8)-'Fiscal Terms'!$C$6)*'Fiscal Terms'!$C$7+MAX(0,$B15+Inputs!$C$40-'Fiscal Terms'!$C$8)*'Fiscal Terms'!$C$9)*Inputs!$C$19/Inputs!$C$18-Inputs!$C$42-C$13)*(1-'Fiscal Terms'!$C$10))*Inputs!$C$21*((1-(1+Inputs!$C$44)^-Inputs!$C$22)/Inputs!$C$44)+NAV!$C$23+NAV!$C$24-Inputs!$C$27-Inputs!$C$28)*Inputs!$C$5/Inputs!$C$33</f>
        <v>16.5847673630621</v>
      </c>
      <c r="D15" s="30" t="n">
        <f aca="false">((((Inputs!$C$19*($B15+Inputs!$C$40)+Inputs!$C$20*Inputs!$C$41)/Inputs!$C$18-(MIN($B15+Inputs!$C$40,'Fiscal Terms'!$C$6)*'Fiscal Terms'!$C$5+MAX(0,MIN($B15+Inputs!$C$40,'Fiscal Terms'!$C$8)-'Fiscal Terms'!$C$6)*'Fiscal Terms'!$C$7+MAX(0,$B15+Inputs!$C$40-'Fiscal Terms'!$C$8)*'Fiscal Terms'!$C$9)*Inputs!$C$19/Inputs!$C$18-Inputs!$C$42-D$13)*(1-'Fiscal Terms'!$C$10))*Inputs!$C$21*((1-(1+Inputs!$C$44)^-Inputs!$C$22)/Inputs!$C$44)+NAV!$C$23+NAV!$C$24-Inputs!$C$27-Inputs!$C$28)*Inputs!$C$5/Inputs!$C$33</f>
        <v>16.1366021017056</v>
      </c>
      <c r="E15" s="30" t="n">
        <f aca="false">((((Inputs!$C$19*($B15+Inputs!$C$40)+Inputs!$C$20*Inputs!$C$41)/Inputs!$C$18-(MIN($B15+Inputs!$C$40,'Fiscal Terms'!$C$6)*'Fiscal Terms'!$C$5+MAX(0,MIN($B15+Inputs!$C$40,'Fiscal Terms'!$C$8)-'Fiscal Terms'!$C$6)*'Fiscal Terms'!$C$7+MAX(0,$B15+Inputs!$C$40-'Fiscal Terms'!$C$8)*'Fiscal Terms'!$C$9)*Inputs!$C$19/Inputs!$C$18-Inputs!$C$42-E$13)*(1-'Fiscal Terms'!$C$10))*Inputs!$C$21*((1-(1+Inputs!$C$44)^-Inputs!$C$22)/Inputs!$C$44)+NAV!$C$23+NAV!$C$24-Inputs!$C$27-Inputs!$C$28)*Inputs!$C$5/Inputs!$C$33</f>
        <v>15.6884368403492</v>
      </c>
      <c r="F15" s="30" t="n">
        <f aca="false">((((Inputs!$C$19*($B15+Inputs!$C$40)+Inputs!$C$20*Inputs!$C$41)/Inputs!$C$18-(MIN($B15+Inputs!$C$40,'Fiscal Terms'!$C$6)*'Fiscal Terms'!$C$5+MAX(0,MIN($B15+Inputs!$C$40,'Fiscal Terms'!$C$8)-'Fiscal Terms'!$C$6)*'Fiscal Terms'!$C$7+MAX(0,$B15+Inputs!$C$40-'Fiscal Terms'!$C$8)*'Fiscal Terms'!$C$9)*Inputs!$C$19/Inputs!$C$18-Inputs!$C$42-F$13)*(1-'Fiscal Terms'!$C$10))*Inputs!$C$21*((1-(1+Inputs!$C$44)^-Inputs!$C$22)/Inputs!$C$44)+NAV!$C$23+NAV!$C$24-Inputs!$C$27-Inputs!$C$28)*Inputs!$C$5/Inputs!$C$33</f>
        <v>15.2402715789928</v>
      </c>
      <c r="G15" s="30" t="n">
        <f aca="false">((((Inputs!$C$19*($B15+Inputs!$C$40)+Inputs!$C$20*Inputs!$C$41)/Inputs!$C$18-(MIN($B15+Inputs!$C$40,'Fiscal Terms'!$C$6)*'Fiscal Terms'!$C$5+MAX(0,MIN($B15+Inputs!$C$40,'Fiscal Terms'!$C$8)-'Fiscal Terms'!$C$6)*'Fiscal Terms'!$C$7+MAX(0,$B15+Inputs!$C$40-'Fiscal Terms'!$C$8)*'Fiscal Terms'!$C$9)*Inputs!$C$19/Inputs!$C$18-Inputs!$C$42-G$13)*(1-'Fiscal Terms'!$C$10))*Inputs!$C$21*((1-(1+Inputs!$C$44)^-Inputs!$C$22)/Inputs!$C$44)+NAV!$C$23+NAV!$C$24-Inputs!$C$27-Inputs!$C$28)*Inputs!$C$5/Inputs!$C$33</f>
        <v>14.7921063176364</v>
      </c>
    </row>
    <row r="16" customFormat="false" ht="15" hidden="false" customHeight="false" outlineLevel="0" collapsed="false">
      <c r="B16" s="45" t="n">
        <v>70</v>
      </c>
      <c r="C16" s="30" t="n">
        <f aca="false">((((Inputs!$C$19*($B16+Inputs!$C$40)+Inputs!$C$20*Inputs!$C$41)/Inputs!$C$18-(MIN($B16+Inputs!$C$40,'Fiscal Terms'!$C$6)*'Fiscal Terms'!$C$5+MAX(0,MIN($B16+Inputs!$C$40,'Fiscal Terms'!$C$8)-'Fiscal Terms'!$C$6)*'Fiscal Terms'!$C$7+MAX(0,$B16+Inputs!$C$40-'Fiscal Terms'!$C$8)*'Fiscal Terms'!$C$9)*Inputs!$C$19/Inputs!$C$18-Inputs!$C$42-C$13)*(1-'Fiscal Terms'!$C$10))*Inputs!$C$21*((1-(1+Inputs!$C$44)^-Inputs!$C$22)/Inputs!$C$44)+NAV!$C$23+NAV!$C$24-Inputs!$C$27-Inputs!$C$28)*Inputs!$C$5/Inputs!$C$33</f>
        <v>18.9545714630834</v>
      </c>
      <c r="D16" s="30" t="n">
        <f aca="false">((((Inputs!$C$19*($B16+Inputs!$C$40)+Inputs!$C$20*Inputs!$C$41)/Inputs!$C$18-(MIN($B16+Inputs!$C$40,'Fiscal Terms'!$C$6)*'Fiscal Terms'!$C$5+MAX(0,MIN($B16+Inputs!$C$40,'Fiscal Terms'!$C$8)-'Fiscal Terms'!$C$6)*'Fiscal Terms'!$C$7+MAX(0,$B16+Inputs!$C$40-'Fiscal Terms'!$C$8)*'Fiscal Terms'!$C$9)*Inputs!$C$19/Inputs!$C$18-Inputs!$C$42-D$13)*(1-'Fiscal Terms'!$C$10))*Inputs!$C$21*((1-(1+Inputs!$C$44)^-Inputs!$C$22)/Inputs!$C$44)+NAV!$C$23+NAV!$C$24-Inputs!$C$27-Inputs!$C$28)*Inputs!$C$5/Inputs!$C$33</f>
        <v>18.506406201727</v>
      </c>
      <c r="E16" s="46" t="n">
        <f aca="false">((((Inputs!$C$19*($B16+Inputs!$C$40)+Inputs!$C$20*Inputs!$C$41)/Inputs!$C$18-(MIN($B16+Inputs!$C$40,'Fiscal Terms'!$C$6)*'Fiscal Terms'!$C$5+MAX(0,MIN($B16+Inputs!$C$40,'Fiscal Terms'!$C$8)-'Fiscal Terms'!$C$6)*'Fiscal Terms'!$C$7+MAX(0,$B16+Inputs!$C$40-'Fiscal Terms'!$C$8)*'Fiscal Terms'!$C$9)*Inputs!$C$19/Inputs!$C$18-Inputs!$C$42-E$13)*(1-'Fiscal Terms'!$C$10))*Inputs!$C$21*((1-(1+Inputs!$C$44)^-Inputs!$C$22)/Inputs!$C$44)+NAV!$C$23+NAV!$C$24-Inputs!$C$27-Inputs!$C$28)*Inputs!$C$5/Inputs!$C$33</f>
        <v>18.0582409403705</v>
      </c>
      <c r="F16" s="30" t="n">
        <f aca="false">((((Inputs!$C$19*($B16+Inputs!$C$40)+Inputs!$C$20*Inputs!$C$41)/Inputs!$C$18-(MIN($B16+Inputs!$C$40,'Fiscal Terms'!$C$6)*'Fiscal Terms'!$C$5+MAX(0,MIN($B16+Inputs!$C$40,'Fiscal Terms'!$C$8)-'Fiscal Terms'!$C$6)*'Fiscal Terms'!$C$7+MAX(0,$B16+Inputs!$C$40-'Fiscal Terms'!$C$8)*'Fiscal Terms'!$C$9)*Inputs!$C$19/Inputs!$C$18-Inputs!$C$42-F$13)*(1-'Fiscal Terms'!$C$10))*Inputs!$C$21*((1-(1+Inputs!$C$44)^-Inputs!$C$22)/Inputs!$C$44)+NAV!$C$23+NAV!$C$24-Inputs!$C$27-Inputs!$C$28)*Inputs!$C$5/Inputs!$C$33</f>
        <v>17.6100756790141</v>
      </c>
      <c r="G16" s="30" t="n">
        <f aca="false">((((Inputs!$C$19*($B16+Inputs!$C$40)+Inputs!$C$20*Inputs!$C$41)/Inputs!$C$18-(MIN($B16+Inputs!$C$40,'Fiscal Terms'!$C$6)*'Fiscal Terms'!$C$5+MAX(0,MIN($B16+Inputs!$C$40,'Fiscal Terms'!$C$8)-'Fiscal Terms'!$C$6)*'Fiscal Terms'!$C$7+MAX(0,$B16+Inputs!$C$40-'Fiscal Terms'!$C$8)*'Fiscal Terms'!$C$9)*Inputs!$C$19/Inputs!$C$18-Inputs!$C$42-G$13)*(1-'Fiscal Terms'!$C$10))*Inputs!$C$21*((1-(1+Inputs!$C$44)^-Inputs!$C$22)/Inputs!$C$44)+NAV!$C$23+NAV!$C$24-Inputs!$C$27-Inputs!$C$28)*Inputs!$C$5/Inputs!$C$33</f>
        <v>17.1619104176577</v>
      </c>
    </row>
    <row r="17" customFormat="false" ht="15" hidden="false" customHeight="false" outlineLevel="0" collapsed="false">
      <c r="B17" s="45" t="n">
        <v>77.5</v>
      </c>
      <c r="C17" s="30" t="n">
        <f aca="false">((((Inputs!$C$19*($B17+Inputs!$C$40)+Inputs!$C$20*Inputs!$C$41)/Inputs!$C$18-(MIN($B17+Inputs!$C$40,'Fiscal Terms'!$C$6)*'Fiscal Terms'!$C$5+MAX(0,MIN($B17+Inputs!$C$40,'Fiscal Terms'!$C$8)-'Fiscal Terms'!$C$6)*'Fiscal Terms'!$C$7+MAX(0,$B17+Inputs!$C$40-'Fiscal Terms'!$C$8)*'Fiscal Terms'!$C$9)*Inputs!$C$19/Inputs!$C$18-Inputs!$C$42-C$13)*(1-'Fiscal Terms'!$C$10))*Inputs!$C$21*((1-(1+Inputs!$C$44)^-Inputs!$C$22)/Inputs!$C$44)+NAV!$C$23+NAV!$C$24-Inputs!$C$27-Inputs!$C$28)*Inputs!$C$5/Inputs!$C$33</f>
        <v>20.4879741160383</v>
      </c>
      <c r="D17" s="30" t="n">
        <f aca="false">((((Inputs!$C$19*($B17+Inputs!$C$40)+Inputs!$C$20*Inputs!$C$41)/Inputs!$C$18-(MIN($B17+Inputs!$C$40,'Fiscal Terms'!$C$6)*'Fiscal Terms'!$C$5+MAX(0,MIN($B17+Inputs!$C$40,'Fiscal Terms'!$C$8)-'Fiscal Terms'!$C$6)*'Fiscal Terms'!$C$7+MAX(0,$B17+Inputs!$C$40-'Fiscal Terms'!$C$8)*'Fiscal Terms'!$C$9)*Inputs!$C$19/Inputs!$C$18-Inputs!$C$42-D$13)*(1-'Fiscal Terms'!$C$10))*Inputs!$C$21*((1-(1+Inputs!$C$44)^-Inputs!$C$22)/Inputs!$C$44)+NAV!$C$23+NAV!$C$24-Inputs!$C$27-Inputs!$C$28)*Inputs!$C$5/Inputs!$C$33</f>
        <v>20.0398088546819</v>
      </c>
      <c r="E17" s="30" t="n">
        <f aca="false">((((Inputs!$C$19*($B17+Inputs!$C$40)+Inputs!$C$20*Inputs!$C$41)/Inputs!$C$18-(MIN($B17+Inputs!$C$40,'Fiscal Terms'!$C$6)*'Fiscal Terms'!$C$5+MAX(0,MIN($B17+Inputs!$C$40,'Fiscal Terms'!$C$8)-'Fiscal Terms'!$C$6)*'Fiscal Terms'!$C$7+MAX(0,$B17+Inputs!$C$40-'Fiscal Terms'!$C$8)*'Fiscal Terms'!$C$9)*Inputs!$C$19/Inputs!$C$18-Inputs!$C$42-E$13)*(1-'Fiscal Terms'!$C$10))*Inputs!$C$21*((1-(1+Inputs!$C$44)^-Inputs!$C$22)/Inputs!$C$44)+NAV!$C$23+NAV!$C$24-Inputs!$C$27-Inputs!$C$28)*Inputs!$C$5/Inputs!$C$33</f>
        <v>19.5916435933255</v>
      </c>
      <c r="F17" s="30" t="n">
        <f aca="false">((((Inputs!$C$19*($B17+Inputs!$C$40)+Inputs!$C$20*Inputs!$C$41)/Inputs!$C$18-(MIN($B17+Inputs!$C$40,'Fiscal Terms'!$C$6)*'Fiscal Terms'!$C$5+MAX(0,MIN($B17+Inputs!$C$40,'Fiscal Terms'!$C$8)-'Fiscal Terms'!$C$6)*'Fiscal Terms'!$C$7+MAX(0,$B17+Inputs!$C$40-'Fiscal Terms'!$C$8)*'Fiscal Terms'!$C$9)*Inputs!$C$19/Inputs!$C$18-Inputs!$C$42-F$13)*(1-'Fiscal Terms'!$C$10))*Inputs!$C$21*((1-(1+Inputs!$C$44)^-Inputs!$C$22)/Inputs!$C$44)+NAV!$C$23+NAV!$C$24-Inputs!$C$27-Inputs!$C$28)*Inputs!$C$5/Inputs!$C$33</f>
        <v>19.1434783319691</v>
      </c>
      <c r="G17" s="30" t="n">
        <f aca="false">((((Inputs!$C$19*($B17+Inputs!$C$40)+Inputs!$C$20*Inputs!$C$41)/Inputs!$C$18-(MIN($B17+Inputs!$C$40,'Fiscal Terms'!$C$6)*'Fiscal Terms'!$C$5+MAX(0,MIN($B17+Inputs!$C$40,'Fiscal Terms'!$C$8)-'Fiscal Terms'!$C$6)*'Fiscal Terms'!$C$7+MAX(0,$B17+Inputs!$C$40-'Fiscal Terms'!$C$8)*'Fiscal Terms'!$C$9)*Inputs!$C$19/Inputs!$C$18-Inputs!$C$42-G$13)*(1-'Fiscal Terms'!$C$10))*Inputs!$C$21*((1-(1+Inputs!$C$44)^-Inputs!$C$22)/Inputs!$C$44)+NAV!$C$23+NAV!$C$24-Inputs!$C$27-Inputs!$C$28)*Inputs!$C$5/Inputs!$C$33</f>
        <v>18.6953130706126</v>
      </c>
    </row>
    <row r="18" customFormat="false" ht="15" hidden="false" customHeight="false" outlineLevel="0" collapsed="false">
      <c r="B18" s="45" t="n">
        <v>85</v>
      </c>
      <c r="C18" s="30" t="n">
        <f aca="false">((((Inputs!$C$19*($B18+Inputs!$C$40)+Inputs!$C$20*Inputs!$C$41)/Inputs!$C$18-(MIN($B18+Inputs!$C$40,'Fiscal Terms'!$C$6)*'Fiscal Terms'!$C$5+MAX(0,MIN($B18+Inputs!$C$40,'Fiscal Terms'!$C$8)-'Fiscal Terms'!$C$6)*'Fiscal Terms'!$C$7+MAX(0,$B18+Inputs!$C$40-'Fiscal Terms'!$C$8)*'Fiscal Terms'!$C$9)*Inputs!$C$19/Inputs!$C$18-Inputs!$C$42-C$13)*(1-'Fiscal Terms'!$C$10))*Inputs!$C$21*((1-(1+Inputs!$C$44)^-Inputs!$C$22)/Inputs!$C$44)+NAV!$C$23+NAV!$C$24-Inputs!$C$27-Inputs!$C$28)*Inputs!$C$5/Inputs!$C$33</f>
        <v>22.0213767689933</v>
      </c>
      <c r="D18" s="30" t="n">
        <f aca="false">((((Inputs!$C$19*($B18+Inputs!$C$40)+Inputs!$C$20*Inputs!$C$41)/Inputs!$C$18-(MIN($B18+Inputs!$C$40,'Fiscal Terms'!$C$6)*'Fiscal Terms'!$C$5+MAX(0,MIN($B18+Inputs!$C$40,'Fiscal Terms'!$C$8)-'Fiscal Terms'!$C$6)*'Fiscal Terms'!$C$7+MAX(0,$B18+Inputs!$C$40-'Fiscal Terms'!$C$8)*'Fiscal Terms'!$C$9)*Inputs!$C$19/Inputs!$C$18-Inputs!$C$42-D$13)*(1-'Fiscal Terms'!$C$10))*Inputs!$C$21*((1-(1+Inputs!$C$44)^-Inputs!$C$22)/Inputs!$C$44)+NAV!$C$23+NAV!$C$24-Inputs!$C$27-Inputs!$C$28)*Inputs!$C$5/Inputs!$C$33</f>
        <v>21.5732115076369</v>
      </c>
      <c r="E18" s="30" t="n">
        <f aca="false">((((Inputs!$C$19*($B18+Inputs!$C$40)+Inputs!$C$20*Inputs!$C$41)/Inputs!$C$18-(MIN($B18+Inputs!$C$40,'Fiscal Terms'!$C$6)*'Fiscal Terms'!$C$5+MAX(0,MIN($B18+Inputs!$C$40,'Fiscal Terms'!$C$8)-'Fiscal Terms'!$C$6)*'Fiscal Terms'!$C$7+MAX(0,$B18+Inputs!$C$40-'Fiscal Terms'!$C$8)*'Fiscal Terms'!$C$9)*Inputs!$C$19/Inputs!$C$18-Inputs!$C$42-E$13)*(1-'Fiscal Terms'!$C$10))*Inputs!$C$21*((1-(1+Inputs!$C$44)^-Inputs!$C$22)/Inputs!$C$44)+NAV!$C$23+NAV!$C$24-Inputs!$C$27-Inputs!$C$28)*Inputs!$C$5/Inputs!$C$33</f>
        <v>21.1250462462804</v>
      </c>
      <c r="F18" s="30" t="n">
        <f aca="false">((((Inputs!$C$19*($B18+Inputs!$C$40)+Inputs!$C$20*Inputs!$C$41)/Inputs!$C$18-(MIN($B18+Inputs!$C$40,'Fiscal Terms'!$C$6)*'Fiscal Terms'!$C$5+MAX(0,MIN($B18+Inputs!$C$40,'Fiscal Terms'!$C$8)-'Fiscal Terms'!$C$6)*'Fiscal Terms'!$C$7+MAX(0,$B18+Inputs!$C$40-'Fiscal Terms'!$C$8)*'Fiscal Terms'!$C$9)*Inputs!$C$19/Inputs!$C$18-Inputs!$C$42-F$13)*(1-'Fiscal Terms'!$C$10))*Inputs!$C$21*((1-(1+Inputs!$C$44)^-Inputs!$C$22)/Inputs!$C$44)+NAV!$C$23+NAV!$C$24-Inputs!$C$27-Inputs!$C$28)*Inputs!$C$5/Inputs!$C$33</f>
        <v>20.676880984924</v>
      </c>
      <c r="G18" s="30" t="n">
        <f aca="false">((((Inputs!$C$19*($B18+Inputs!$C$40)+Inputs!$C$20*Inputs!$C$41)/Inputs!$C$18-(MIN($B18+Inputs!$C$40,'Fiscal Terms'!$C$6)*'Fiscal Terms'!$C$5+MAX(0,MIN($B18+Inputs!$C$40,'Fiscal Terms'!$C$8)-'Fiscal Terms'!$C$6)*'Fiscal Terms'!$C$7+MAX(0,$B18+Inputs!$C$40-'Fiscal Terms'!$C$8)*'Fiscal Terms'!$C$9)*Inputs!$C$19/Inputs!$C$18-Inputs!$C$42-G$13)*(1-'Fiscal Terms'!$C$10))*Inputs!$C$21*((1-(1+Inputs!$C$44)^-Inputs!$C$22)/Inputs!$C$44)+NAV!$C$23+NAV!$C$24-Inputs!$C$27-Inputs!$C$28)*Inputs!$C$5/Inputs!$C$33</f>
        <v>20.2287157235676</v>
      </c>
    </row>
  </sheetData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Sensitivity&amp;R&amp;"Arial,Regular"&amp;8Sensitivity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5" min="3" style="0" width="15"/>
    <col collapsed="false" customWidth="true" hidden="false" outlineLevel="0" max="6" min="6" style="0" width="56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1"/>
      <c r="F1" s="22" t="s">
        <v>39</v>
      </c>
    </row>
    <row r="2" customFormat="false" ht="18" hidden="false" customHeight="true" outlineLevel="0" collapsed="false">
      <c r="A2" s="1"/>
      <c r="B2" s="23" t="s">
        <v>175</v>
      </c>
      <c r="C2" s="1"/>
      <c r="D2" s="1"/>
      <c r="E2" s="1"/>
      <c r="F2" s="1"/>
    </row>
    <row r="4" customFormat="false" ht="15.75" hidden="false" customHeight="true" outlineLevel="0" collapsed="false">
      <c r="B4" s="24" t="s">
        <v>176</v>
      </c>
      <c r="C4" s="1"/>
      <c r="D4" s="1"/>
      <c r="E4" s="1"/>
      <c r="F4" s="1"/>
    </row>
    <row r="5" customFormat="false" ht="15" hidden="false" customHeight="false" outlineLevel="0" collapsed="false">
      <c r="B5" s="20" t="s">
        <v>177</v>
      </c>
      <c r="C5" s="39" t="n">
        <f aca="false">NAV!$C$5</f>
        <v>60.6201550387597</v>
      </c>
    </row>
    <row r="6" customFormat="false" ht="15" hidden="false" customHeight="false" outlineLevel="0" collapsed="false">
      <c r="B6" s="29" t="s">
        <v>178</v>
      </c>
      <c r="C6" s="39" t="n">
        <f aca="false">NAV!$C$11</f>
        <v>20.2054263565892</v>
      </c>
    </row>
    <row r="7" customFormat="false" ht="15" hidden="false" customHeight="false" outlineLevel="0" collapsed="false">
      <c r="B7" s="20" t="s">
        <v>179</v>
      </c>
      <c r="C7" s="48" t="n">
        <f aca="false">NAV!$C$12</f>
        <v>0.333312020460358</v>
      </c>
    </row>
    <row r="8" customFormat="false" ht="15" hidden="false" customHeight="false" outlineLevel="0" collapsed="false">
      <c r="B8" s="20" t="s">
        <v>106</v>
      </c>
      <c r="C8" s="48" t="n">
        <f aca="false">'Fiscal Terms'!$C$17</f>
        <v>0.9</v>
      </c>
    </row>
    <row r="10" customFormat="false" ht="15.75" hidden="false" customHeight="true" outlineLevel="0" collapsed="false">
      <c r="B10" s="24" t="s">
        <v>134</v>
      </c>
      <c r="C10" s="1"/>
      <c r="D10" s="1"/>
      <c r="E10" s="1"/>
      <c r="F10" s="1"/>
    </row>
    <row r="11" customFormat="false" ht="15" hidden="false" customHeight="false" outlineLevel="0" collapsed="false">
      <c r="B11" s="20" t="s">
        <v>125</v>
      </c>
      <c r="C11" s="38" t="n">
        <f aca="false">NAV!$C$17</f>
        <v>1168.29923052229</v>
      </c>
    </row>
    <row r="12" customFormat="false" ht="15" hidden="false" customHeight="false" outlineLevel="0" collapsed="false">
      <c r="B12" s="20" t="s">
        <v>180</v>
      </c>
      <c r="C12" s="39" t="n">
        <f aca="false">NAV!$C$18</f>
        <v>4.72612957331024</v>
      </c>
    </row>
    <row r="13" customFormat="false" ht="15" hidden="false" customHeight="false" outlineLevel="0" collapsed="false">
      <c r="B13" s="20" t="s">
        <v>181</v>
      </c>
      <c r="C13" s="38" t="n">
        <f aca="false">NAV!$C$23</f>
        <v>140</v>
      </c>
    </row>
    <row r="14" customFormat="false" ht="15" hidden="false" customHeight="false" outlineLevel="0" collapsed="false">
      <c r="B14" s="29" t="s">
        <v>138</v>
      </c>
      <c r="C14" s="38" t="n">
        <f aca="false">NAV!$C$30</f>
        <v>1164.91256385562</v>
      </c>
    </row>
    <row r="15" customFormat="false" ht="15" hidden="false" customHeight="false" outlineLevel="0" collapsed="false">
      <c r="B15" s="29" t="s">
        <v>21</v>
      </c>
      <c r="C15" s="39" t="n">
        <f aca="false">NAV!$C$31</f>
        <v>18.0582409403705</v>
      </c>
    </row>
    <row r="16" customFormat="false" ht="15" hidden="false" customHeight="false" outlineLevel="0" collapsed="false">
      <c r="B16" s="20" t="s">
        <v>22</v>
      </c>
      <c r="C16" s="39" t="n">
        <f aca="false">NAV!$C$32</f>
        <v>25.56</v>
      </c>
    </row>
    <row r="17" customFormat="false" ht="15" hidden="false" customHeight="false" outlineLevel="0" collapsed="false">
      <c r="B17" s="29" t="s">
        <v>139</v>
      </c>
      <c r="C17" s="48" t="n">
        <f aca="false">NAV!$C$33</f>
        <v>-0.293496050846224</v>
      </c>
    </row>
    <row r="18" customFormat="false" ht="15" hidden="false" customHeight="false" outlineLevel="0" collapsed="false">
      <c r="B18" s="29" t="s">
        <v>182</v>
      </c>
      <c r="C18" s="39" t="n">
        <f aca="false">'Price Deck'!$C$22</f>
        <v>118.402251803657</v>
      </c>
    </row>
    <row r="19" customFormat="false" ht="15" hidden="false" customHeight="false" outlineLevel="0" collapsed="false">
      <c r="B19" s="29" t="s">
        <v>183</v>
      </c>
      <c r="C19" s="48" t="n">
        <f aca="false">'Price Deck'!$C$23</f>
        <v>0.056881591229585</v>
      </c>
    </row>
    <row r="21" customFormat="false" ht="15.75" hidden="false" customHeight="true" outlineLevel="0" collapsed="false">
      <c r="B21" s="24" t="s">
        <v>184</v>
      </c>
      <c r="C21" s="1"/>
      <c r="D21" s="1"/>
      <c r="E21" s="1"/>
      <c r="F21" s="1"/>
    </row>
    <row r="22" customFormat="false" ht="15" hidden="false" customHeight="false" outlineLevel="0" collapsed="false">
      <c r="B22" s="20" t="s">
        <v>185</v>
      </c>
      <c r="C22" s="49" t="n">
        <f aca="false">Inputs!$C$13</f>
        <v>87.5</v>
      </c>
    </row>
    <row r="23" customFormat="false" ht="15" hidden="false" customHeight="false" outlineLevel="0" collapsed="false">
      <c r="B23" s="20" t="s">
        <v>74</v>
      </c>
      <c r="C23" s="48" t="n">
        <f aca="false">Inputs!$C$36</f>
        <v>0.0530675841853287</v>
      </c>
    </row>
    <row r="24" customFormat="false" ht="15" hidden="false" customHeight="false" outlineLevel="0" collapsed="false">
      <c r="B24" s="20" t="s">
        <v>186</v>
      </c>
      <c r="C24" s="49" t="n">
        <f aca="false">'Price Deck'!$E$10</f>
        <v>90.251</v>
      </c>
    </row>
    <row r="25" customFormat="false" ht="15" hidden="false" customHeight="false" outlineLevel="0" collapsed="false">
      <c r="B25" s="29" t="s">
        <v>24</v>
      </c>
      <c r="C25" s="50" t="n">
        <f aca="false">'Price Deck'!$E$11</f>
        <v>1.03144</v>
      </c>
    </row>
    <row r="26" customFormat="false" ht="15" hidden="false" customHeight="false" outlineLevel="0" collapsed="false">
      <c r="B26" s="29" t="s">
        <v>187</v>
      </c>
      <c r="C26" s="51" t="n">
        <f aca="false">'Price Deck'!$C$20</f>
        <v>68.3426088397208</v>
      </c>
    </row>
    <row r="28" customFormat="false" ht="45" hidden="false" customHeight="true" outlineLevel="0" collapsed="false">
      <c r="B28" s="19" t="s">
        <v>188</v>
      </c>
      <c r="C28" s="19"/>
      <c r="D28" s="19"/>
      <c r="E28" s="19"/>
      <c r="F28" s="19"/>
    </row>
    <row r="29" customFormat="false" ht="75" hidden="false" customHeight="true" outlineLevel="0" collapsed="false">
      <c r="B29" s="19" t="s">
        <v>189</v>
      </c>
      <c r="C29" s="19"/>
      <c r="D29" s="19"/>
      <c r="E29" s="19"/>
      <c r="F29" s="19"/>
    </row>
    <row r="30" customFormat="false" ht="45" hidden="false" customHeight="true" outlineLevel="0" collapsed="false">
      <c r="B30" s="19" t="s">
        <v>190</v>
      </c>
      <c r="C30" s="19"/>
      <c r="D30" s="19"/>
      <c r="E30" s="19"/>
      <c r="F30" s="19"/>
    </row>
    <row r="31" customFormat="false" ht="45" hidden="false" customHeight="true" outlineLevel="0" collapsed="false">
      <c r="B31" s="19" t="s">
        <v>191</v>
      </c>
      <c r="C31" s="19"/>
      <c r="D31" s="19"/>
      <c r="E31" s="19"/>
      <c r="F31" s="19"/>
    </row>
  </sheetData>
  <mergeCells count="4">
    <mergeCell ref="B28:F28"/>
    <mergeCell ref="B29:F29"/>
    <mergeCell ref="B30:F30"/>
    <mergeCell ref="B31:F31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Sensitivity&amp;R&amp;"Arial,Regular"&amp;8Summary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74"/>
    <col collapsed="false" customWidth="true" hidden="false" outlineLevel="0" max="5" min="3" style="0" width="16"/>
  </cols>
  <sheetData>
    <row r="1" customFormat="false" ht="30" hidden="false" customHeight="true" outlineLevel="0" collapsed="false">
      <c r="A1" s="1"/>
      <c r="B1" s="21" t="s">
        <v>38</v>
      </c>
      <c r="C1" s="1"/>
      <c r="D1" s="1"/>
      <c r="E1" s="22" t="s">
        <v>39</v>
      </c>
    </row>
    <row r="2" customFormat="false" ht="18" hidden="false" customHeight="true" outlineLevel="0" collapsed="false">
      <c r="A2" s="1"/>
      <c r="B2" s="23" t="s">
        <v>192</v>
      </c>
      <c r="C2" s="1"/>
      <c r="D2" s="1"/>
      <c r="E2" s="1"/>
    </row>
    <row r="4" customFormat="false" ht="15.75" hidden="false" customHeight="true" outlineLevel="0" collapsed="false">
      <c r="B4" s="24" t="s">
        <v>193</v>
      </c>
      <c r="C4" s="1"/>
      <c r="D4" s="1"/>
      <c r="E4" s="1"/>
    </row>
    <row r="5" customFormat="false" ht="15" hidden="false" customHeight="false" outlineLevel="0" collapsed="false">
      <c r="B5" s="20" t="s">
        <v>194</v>
      </c>
      <c r="C5" s="52" t="b">
        <f aca="false">AND(Inputs!$C$22&gt;40,Inputs!$C$22&lt;60)</f>
        <v>1</v>
      </c>
    </row>
    <row r="6" customFormat="false" ht="15" hidden="false" customHeight="false" outlineLevel="0" collapsed="false">
      <c r="B6" s="20" t="s">
        <v>195</v>
      </c>
      <c r="C6" s="52" t="b">
        <f aca="false">ABS('Fiscal Terms'!$C$15-(MIN('Fiscal Terms'!$C$14,70)*0.15+MAX(0,MIN('Fiscal Terms'!$C$14,100)-70)*0.45+MAX(0,'Fiscal Terms'!$C$14-100)*0.8))&lt;0.0001</f>
        <v>1</v>
      </c>
    </row>
    <row r="7" customFormat="false" ht="15" hidden="false" customHeight="false" outlineLevel="0" collapsed="false">
      <c r="B7" s="20" t="s">
        <v>196</v>
      </c>
      <c r="C7" s="52" t="b">
        <f aca="false">AND('Price Deck'!$D$7&gt;='Price Deck'!$C$7,'Price Deck'!$E$7&gt;='Price Deck'!$D$7,'Price Deck'!$F$7&gt;='Price Deck'!$E$7,'Price Deck'!$G$7&gt;='Price Deck'!$F$7,'Price Deck'!$H$7&gt;='Price Deck'!$G$7,'Price Deck'!$I$7&gt;='Price Deck'!$H$7)</f>
        <v>1</v>
      </c>
    </row>
    <row r="8" customFormat="false" ht="15" hidden="false" customHeight="false" outlineLevel="0" collapsed="false">
      <c r="B8" s="20" t="s">
        <v>197</v>
      </c>
      <c r="C8" s="52" t="b">
        <f aca="false">AND('Price Deck'!$D$8&gt;'Price Deck'!$C$8,'Price Deck'!$E$8&gt;'Price Deck'!$D$8,'Price Deck'!$F$8&gt;'Price Deck'!$E$8,'Price Deck'!$G$8&gt;'Price Deck'!$F$8,'Price Deck'!$H$8&gt;'Price Deck'!$G$8,'Price Deck'!$I$8&gt;'Price Deck'!$H$8)</f>
        <v>1</v>
      </c>
    </row>
    <row r="9" customFormat="false" ht="15" hidden="false" customHeight="false" outlineLevel="0" collapsed="false">
      <c r="B9" s="20" t="s">
        <v>198</v>
      </c>
      <c r="C9" s="52" t="b">
        <f aca="false">ABS(NAV!$C$11-'Price Deck'!$E$8)&lt;0.0001</f>
        <v>1</v>
      </c>
    </row>
    <row r="10" customFormat="false" ht="15" hidden="false" customHeight="false" outlineLevel="0" collapsed="false">
      <c r="B10" s="20" t="s">
        <v>199</v>
      </c>
      <c r="C10" s="52" t="b">
        <f aca="false">ABS(NAV!$C$31-'Price Deck'!$E$16)&lt;0.001</f>
        <v>1</v>
      </c>
    </row>
    <row r="11" customFormat="false" ht="15" hidden="false" customHeight="false" outlineLevel="0" collapsed="false">
      <c r="B11" s="20" t="s">
        <v>200</v>
      </c>
      <c r="C11" s="52" t="b">
        <f aca="false">ABS(NAV!$C$19)&lt;0.2</f>
        <v>1</v>
      </c>
    </row>
    <row r="12" customFormat="false" ht="15" hidden="false" customHeight="false" outlineLevel="0" collapsed="false">
      <c r="B12" s="20" t="s">
        <v>201</v>
      </c>
      <c r="C12" s="52" t="b">
        <f aca="false">NAV!$C$16&lt;1/Inputs!$C$44</f>
        <v>1</v>
      </c>
    </row>
    <row r="13" customFormat="false" ht="15" hidden="false" customHeight="false" outlineLevel="0" collapsed="false">
      <c r="B13" s="20" t="s">
        <v>202</v>
      </c>
      <c r="C13" s="52" t="b">
        <f aca="false">'Price Deck'!$C$20&lt;'Fiscal Terms'!$C$6</f>
        <v>1</v>
      </c>
    </row>
    <row r="14" customFormat="false" ht="15" hidden="false" customHeight="false" outlineLevel="0" collapsed="false">
      <c r="B14" s="20" t="s">
        <v>203</v>
      </c>
      <c r="C14" s="52" t="b">
        <f aca="false">ABS(((Inputs!$C$19/Inputs!$C$18*(1-'Fiscal Terms'!$C$5)*(1-'Fiscal Terms'!$C$10)*Inputs!$C$21)*'Price Deck'!$C$20+((Inputs!$C$20*Inputs!$C$41/Inputs!$C$18-Inputs!$C$42-Inputs!$C$43+Inputs!$C$19/Inputs!$C$18*Inputs!$C$40*(1-'Fiscal Terms'!$C$5))*(1-'Fiscal Terms'!$C$10)*Inputs!$C$21+(Inputs!$C$9+Inputs!$C$45)*(1-'Fiscal Terms'!$C$11)-(Inputs!$C$10-Inputs!$C$43*Inputs!$C$21)-Inputs!$C$47))/Inputs!$C$13-1)&lt;0.0001</f>
        <v>1</v>
      </c>
    </row>
    <row r="15" customFormat="false" ht="15" hidden="false" customHeight="false" outlineLevel="0" collapsed="false">
      <c r="B15" s="20" t="s">
        <v>204</v>
      </c>
      <c r="C15" s="52" t="b">
        <f aca="false">ABS((((Inputs!$C$19*('Price Deck'!$C$22+Inputs!$C$40)+Inputs!$C$20*Inputs!$C$41)/Inputs!$C$18-(MIN('Price Deck'!$C$22+Inputs!$C$40,'Fiscal Terms'!$C$6)*'Fiscal Terms'!$C$5+MAX(0,MIN('Price Deck'!$C$22+Inputs!$C$40,'Fiscal Terms'!$C$8)-'Fiscal Terms'!$C$6)*'Fiscal Terms'!$C$7+MAX(0,'Price Deck'!$C$22+Inputs!$C$40-'Fiscal Terms'!$C$8)*'Fiscal Terms'!$C$9)*Inputs!$C$19/Inputs!$C$18-Inputs!$C$42-Inputs!$C$43)*(1-'Fiscal Terms'!$C$10)*Inputs!$C$21)*NAV!$C$16+NAV!$C$23+NAV!$C$24-Inputs!$C$27-Inputs!$C$28-Inputs!$C$34)&lt;0.5</f>
        <v>1</v>
      </c>
    </row>
    <row r="16" customFormat="false" ht="15" hidden="false" customHeight="false" outlineLevel="0" collapsed="false">
      <c r="B16" s="20" t="s">
        <v>205</v>
      </c>
      <c r="C16" s="52" t="b">
        <f aca="false">IF(Inputs!$C$32&gt;NAV!$C$31,'Price Deck'!$C$23&lt;Inputs!$C$44,TRUE())</f>
        <v>1</v>
      </c>
    </row>
    <row r="17" customFormat="false" ht="15" hidden="false" customHeight="false" outlineLevel="0" collapsed="false">
      <c r="B17" s="20" t="s">
        <v>206</v>
      </c>
      <c r="C17" s="52" t="b">
        <f aca="false">ABS(Sensitivity!E8-NAV!$C$31)&lt;0.001</f>
        <v>1</v>
      </c>
    </row>
    <row r="18" customFormat="false" ht="15" hidden="false" customHeight="false" outlineLevel="0" collapsed="false">
      <c r="B18" s="20" t="s">
        <v>207</v>
      </c>
      <c r="C18" s="52" t="b">
        <f aca="false">ABS(Inputs!$C$34-Inputs!$C$32*Inputs!$C$33/Inputs!$C$5)&lt;0.01</f>
        <v>1</v>
      </c>
    </row>
    <row r="19" customFormat="false" ht="15" hidden="false" customHeight="false" outlineLevel="0" collapsed="false">
      <c r="B19" s="20" t="s">
        <v>208</v>
      </c>
      <c r="C19" s="52" t="b">
        <f aca="false">AND(Inputs!$C$32&gt;=23.29-0.1,Inputs!$C$32&lt;=27.96+0.1)</f>
        <v>1</v>
      </c>
    </row>
    <row r="21" customFormat="false" ht="15" hidden="false" customHeight="false" outlineLevel="0" collapsed="false">
      <c r="B21" s="53" t="s">
        <v>209</v>
      </c>
      <c r="C21" s="54" t="str">
        <f aca="false">IF(COUNTIF(C5:C19,FALSE())=0,"MODEL OK","CHECK FAILED")</f>
        <v>MODEL OK</v>
      </c>
    </row>
    <row r="23" customFormat="false" ht="33.75" hidden="false" customHeight="true" outlineLevel="0" collapsed="false">
      <c r="B23" s="19" t="s">
        <v>210</v>
      </c>
      <c r="C23" s="19"/>
      <c r="D23" s="19"/>
      <c r="E23" s="19"/>
    </row>
  </sheetData>
  <mergeCells count="1">
    <mergeCell ref="B23:E23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&amp;L&amp;"Arial,Bold"&amp;8Saudi Aramco — Energy NAV and Price-Deck Sensitivity&amp;R&amp;"Arial,Regular"&amp;8Checks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2026-09-18T08:43:58Z</dcterms:created>
  <dc:creator>openpyxl</dc:creator>
  <dc:description/>
  <dc:language>en-US</dc:language>
  <cp:lastModifiedBy/>
  <dcterms:modified xsi:type="dcterms:W3CDTF">2026-09-18T08:43:58Z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