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Summary" sheetId="2" state="visible" r:id="rId4"/>
    <sheet name="Inputs" sheetId="3" state="visible" r:id="rId5"/>
    <sheet name="WACC" sheetId="4" state="visible" r:id="rId6"/>
    <sheet name="Operating" sheetId="5" state="visible" r:id="rId7"/>
    <sheet name="DCF" sheetId="6" state="visible" r:id="rId8"/>
    <sheet name="Sensitivity" sheetId="7" state="visible" r:id="rId9"/>
    <sheet name="Checks" sheetId="8" state="visible" r:id="rId10"/>
  </sheets>
  <definedNames>
    <definedName function="false" hidden="false" localSheetId="7" name="_xlnm.Print_Area" vbProcedure="false">Checks!$A$1:$D$10</definedName>
    <definedName function="false" hidden="false" localSheetId="0" name="_xlnm.Print_Area" vbProcedure="false">Cover!$A$1:$F$45</definedName>
    <definedName function="false" hidden="false" localSheetId="5" name="_xlnm.Print_Area" vbProcedure="false">DCF!$A$1:$I$44</definedName>
    <definedName function="false" hidden="false" localSheetId="5" name="_xlnm.Print_Titles" vbProcedure="false">DCF!$1:$5</definedName>
    <definedName function="false" hidden="false" localSheetId="2" name="_xlnm.Print_Area" vbProcedure="false">Inputs!$A$1:$F$20</definedName>
    <definedName function="false" hidden="false" localSheetId="4" name="_xlnm.Print_Area" vbProcedure="false">Operating!$A$1:$H$43</definedName>
    <definedName function="false" hidden="false" localSheetId="6" name="_xlnm.Print_Area" vbProcedure="false">Sensitivity!$A$1:$J$34</definedName>
    <definedName function="false" hidden="false" localSheetId="1" name="_xlnm.Print_Area" vbProcedure="false">Summary!$A$1:$F$24</definedName>
    <definedName function="false" hidden="false" localSheetId="3" name="_xlnm.Print_Area" vbProcedure="false">WACC!$A$1:$I$39</definedName>
    <definedName function="false" hidden="false" localSheetId="3" name="_xlnm.Print_Titles" vbProcedure="false">WACC!$1:$5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<sst xmlns="http://schemas.openxmlformats.org/spreadsheetml/2006/main" count="256" uniqueCount="199">
  <si>
    <t xml:space="preserve">IB PORTFOLIO · PROJECT 02 OF 20</t>
  </si>
  <si>
    <t xml:space="preserve">Apple Inc.</t>
  </si>
  <si>
    <t xml:space="preserve">DCF Valuation</t>
  </si>
  <si>
    <t xml:space="preserve">Cupertino, California · NASDAQ: AAPL   ·   US$ billions unless stated   ·   as of market data 12 Sep 2026 · FY2025 10-K</t>
  </si>
  <si>
    <t xml:space="preserve">What this is</t>
  </si>
  <si>
    <t xml:space="preserve">An unlevered free-cash-flow DCF of Apple on the operating model from Project 1, with WACC built bottom-up from a ten-company peer set, terminal value by perpetuity growth and by exit multiple with each method's implied assumption cross-checked against the other, an equity bridge and two-way sensitivity tables.</t>
  </si>
  <si>
    <t xml:space="preserve">How it is built</t>
  </si>
  <si>
    <t xml:space="preserve">•  Cost of equity: peer regression betas (five years weekly vs S&amp;P 500), unlevered at each peer's net debt/equity, median relevered at Apple's, times an equity risk premium of 4.5% on a 4.95% ten-year Treasury.</t>
  </si>
  <si>
    <t xml:space="preserve">•  Unlevered FCF = EBIT × (1 − cash tax rate) + D&amp;A − capex − increase in NWC; stock-based compensation is treated as a real expense.</t>
  </si>
  <si>
    <t xml:space="preserve">•  Stub period for the 12 days remaining in FY2026 and mid-year discounting thereafter; terminal value at FY2030 end.</t>
  </si>
  <si>
    <t xml:space="preserve">•  Sensitivity tables re-solve the DCF in closed form (no Excel data tables), so they work in Google Sheets and LibreOffice.</t>
  </si>
  <si>
    <t xml:space="preserve">Contents</t>
  </si>
  <si>
    <t xml:space="preserve">Summary  —  valuation by both terminal methods and how to read it</t>
  </si>
  <si>
    <t xml:space="preserve">Inputs  —  market data, rates, terminal assumptions, scenario selector</t>
  </si>
  <si>
    <t xml:space="preserve">WACC  —  peer betas, unlever/relever, CAPM, cost of debt, weights</t>
  </si>
  <si>
    <t xml:space="preserve">Operating  —  three operating cases from the Project 1 model</t>
  </si>
  <si>
    <t xml:space="preserve">DCF  —  UFCF, discounting with stub and mid-year convention, terminal value, equity bridge</t>
  </si>
  <si>
    <t xml:space="preserve">Sensitivity  —  WACC × g and WACC × exit multiple</t>
  </si>
  <si>
    <t xml:space="preserve">Checks  —  integrity checks</t>
  </si>
  <si>
    <t xml:space="preserve">Key outputs (live)</t>
  </si>
  <si>
    <t xml:space="preserve">Implied price — perpetuity (US$)</t>
  </si>
  <si>
    <t xml:space="preserve">Implied price — exit multiple (US$)</t>
  </si>
  <si>
    <t xml:space="preserve">Current price (US$)</t>
  </si>
  <si>
    <t xml:space="preserve">WACC</t>
  </si>
  <si>
    <t xml:space="preserve">Model status</t>
  </si>
  <si>
    <t xml:space="preserve">Colour code</t>
  </si>
  <si>
    <t xml:space="preserve">Blue = hard-coded input</t>
  </si>
  <si>
    <t xml:space="preserve">Black = formula</t>
  </si>
  <si>
    <t xml:space="preserve">Green = link to another sheet</t>
  </si>
  <si>
    <t xml:space="preserve">Accent fill = scenario selector / key levers</t>
  </si>
  <si>
    <t xml:space="preserve">Sources</t>
  </si>
  <si>
    <t xml:space="preserve">Apple Form 10-K FY2025; Project 1 model for the forecasts</t>
  </si>
  <si>
    <t xml:space="preserve">Yahoo Finance for prices and peer balance sheets (12 Sep 2026)</t>
  </si>
  <si>
    <t xml:space="preserve">FRED: DGS10 (10-year Treasury), BAMLC0A1CAAAEY (AAA corporate yield)</t>
  </si>
  <si>
    <t xml:space="preserve">Damodaran, implied equity risk premium (mid-2026)</t>
  </si>
  <si>
    <t xml:space="preserve">Prepared by</t>
  </si>
  <si>
    <t xml:space="preserve">Jainam Mehta · github.com/jainammehta1215/ib-portfolio</t>
  </si>
  <si>
    <t xml:space="preserve">Apple Inc. — DCF Valuation</t>
  </si>
  <si>
    <t xml:space="preserve">APPLE INC.</t>
  </si>
  <si>
    <t xml:space="preserve">Valuation summary for the selected scenario</t>
  </si>
  <si>
    <t xml:space="preserve">VALUATION (US$bn unless stated)</t>
  </si>
  <si>
    <t xml:space="preserve">Perpetuity growth</t>
  </si>
  <si>
    <t xml:space="preserve">Exit multiple</t>
  </si>
  <si>
    <t xml:space="preserve">Terminal assumption</t>
  </si>
  <si>
    <t xml:space="preserve">PV of forecast cash flows</t>
  </si>
  <si>
    <t xml:space="preserve">PV of terminal value</t>
  </si>
  <si>
    <t xml:space="preserve">Enterprise value</t>
  </si>
  <si>
    <t xml:space="preserve">Net cash</t>
  </si>
  <si>
    <t xml:space="preserve">Equity value</t>
  </si>
  <si>
    <t xml:space="preserve">Implied value per share (US$)</t>
  </si>
  <si>
    <t xml:space="preserve">Current share price (US$)</t>
  </si>
  <si>
    <t xml:space="preserve">Premium / (discount)</t>
  </si>
  <si>
    <t xml:space="preserve">Terminal value % of EV</t>
  </si>
  <si>
    <t xml:space="preserve">Implied exit multiple / implied growth</t>
  </si>
  <si>
    <t xml:space="preserve">READING THE RESULT</t>
  </si>
  <si>
    <t xml:space="preserve">•  Both terminal methods are shown because each embeds an assumption the other tests: the perpetuity method implies an exit multiple, the exit method implies a growth rate. A defensible range sits between them.</t>
  </si>
  <si>
    <t xml:space="preserve">•  Apple's WACC is almost entirely its cost of equity (debt is 2% of capital), so the valuation is a function of beta and the equity risk premium far more than of the operating forecast in years 1–5.</t>
  </si>
  <si>
    <t xml:space="preserve">•  Stock-based compensation is treated as a real cost (not added back), which lowers UFCF by roughly US$13–16bn a year versus a naïve build. Add it back and the value rises ~8%; the notes page explains why it should not be.</t>
  </si>
  <si>
    <t xml:space="preserve">•  Use the sensitivity tables, not the point estimate, and read the Base/Upside/Downside cases together with the WACC range as the DCF bar on the football field (Project 5).</t>
  </si>
  <si>
    <t xml:space="preserve">Valuation inputs · edit blue cells only</t>
  </si>
  <si>
    <t xml:space="preserve">SCENARIO AND MARKET DATA</t>
  </si>
  <si>
    <t xml:space="preserve">Operating scenario (1 Base · 2 Upside · 3 Downside)</t>
  </si>
  <si>
    <t xml:space="preserve">Valuation date</t>
  </si>
  <si>
    <t xml:space="preserve">2026-09-12</t>
  </si>
  <si>
    <t xml:space="preserve">Market data date</t>
  </si>
  <si>
    <t xml:space="preserve">Share price (US$)</t>
  </si>
  <si>
    <t xml:space="preserve">Yahoo Finance close, 12 Sep 2026</t>
  </si>
  <si>
    <t xml:space="preserve">Diluted shares outstanding (bn)</t>
  </si>
  <si>
    <t xml:space="preserve">Diluted weighted average, quarter to 30 Jun 2026 (Form 10-Q); FY2025 annual was 15.00bn</t>
  </si>
  <si>
    <t xml:space="preserve">Risk-free rate (10-year US Treasury)</t>
  </si>
  <si>
    <t xml:space="preserve">FRED DGS10, 10 Sep 2026</t>
  </si>
  <si>
    <t xml:space="preserve">Equity risk premium</t>
  </si>
  <si>
    <t xml:space="preserve">Damodaran implied ERP for the US, mid-2026 (approx.); range 4.0–5.0%</t>
  </si>
  <si>
    <t xml:space="preserve">Pre-tax cost of debt</t>
  </si>
  <si>
    <t xml:space="preserve">ICE BofA AAA US corporate effective yield (FRED BAMLC0A1CAAAEY), 10 Sep 2026; Apple is rated Aaa/AA+</t>
  </si>
  <si>
    <t xml:space="preserve">Marginal tax rate (for cost of debt and unlevering)</t>
  </si>
  <si>
    <t xml:space="preserve">US federal statutory rate; Apple's effective rate is ~16% and is used for cash taxes on EBIT</t>
  </si>
  <si>
    <t xml:space="preserve">Terminal growth rate</t>
  </si>
  <si>
    <t xml:space="preserve">Nominal; roughly long-run US nominal GDP less a haircut for a mature company</t>
  </si>
  <si>
    <t xml:space="preserve">LTM net income to 30 Jun 2026 (US$bn)</t>
  </si>
  <si>
    <t xml:space="preserve">Sum of the last four quarters (10-Q filings); for the implied P/E cross-check</t>
  </si>
  <si>
    <t xml:space="preserve">Terminal EV/EBITDA exit multiple</t>
  </si>
  <si>
    <t xml:space="preserve">Apple trades at ~27x LTM EBITDA; large-cap tech peers 18–30x; a discount for a terminal year</t>
  </si>
  <si>
    <t xml:space="preserve">Mid-year convention (1 = on, 0 = off)</t>
  </si>
  <si>
    <t xml:space="preserve">Cash flows arrive through the year, not at year-end</t>
  </si>
  <si>
    <t xml:space="preserve">Beta adjustment (1 = Blume-adjusted 0.67β + 0.33, 0 = raw)</t>
  </si>
  <si>
    <t xml:space="preserve">Standard banking practice (Bloomberg 'adjusted beta'): regression betas revert toward 1 over time</t>
  </si>
  <si>
    <t xml:space="preserve">Months from valuation date to FY2026 year-end</t>
  </si>
  <si>
    <t xml:space="preserve">Valuation 12 Sep 2026; FY2026 ends 26 Sep 2026: first-year cash flow is almost entirely in the past, stub = 0.5/12</t>
  </si>
  <si>
    <t xml:space="preserve">Conventions: unlevered free cash flow = EBIT × (1 − cash tax rate) + D&amp;A − capex − increase in net working capital. Stock-based compensation is treated as a real expense (not added back), which is the conservative choice for a company issuing ~US$13bn a year of it.</t>
  </si>
  <si>
    <t xml:space="preserve">Cost of capital built bottom-up from a peer set · five years of weekly returns vs S&amp;P 500</t>
  </si>
  <si>
    <t xml:space="preserve">PEER BETAS (regression on weekly returns, Sep 2021 – Sep 2026)</t>
  </si>
  <si>
    <t xml:space="preserve">Ticker</t>
  </si>
  <si>
    <t xml:space="preserve">Market cap (US$bn)</t>
  </si>
  <si>
    <t xml:space="preserve">Total debt (US$bn)</t>
  </si>
  <si>
    <t xml:space="preserve">Cash (US$bn)</t>
  </si>
  <si>
    <t xml:space="preserve">Levered beta</t>
  </si>
  <si>
    <t xml:space="preserve">Net D/E</t>
  </si>
  <si>
    <t xml:space="preserve">Unlevered beta</t>
  </si>
  <si>
    <t xml:space="preserve">Note</t>
  </si>
  <si>
    <t xml:space="preserve">AAPL</t>
  </si>
  <si>
    <t xml:space="preserve">MSFT</t>
  </si>
  <si>
    <t xml:space="preserve">GOOGL</t>
  </si>
  <si>
    <t xml:space="preserve">AMZN</t>
  </si>
  <si>
    <t xml:space="preserve">META</t>
  </si>
  <si>
    <t xml:space="preserve">NVDA</t>
  </si>
  <si>
    <t xml:space="preserve">SONY</t>
  </si>
  <si>
    <t xml:space="preserve">ADR; JPY balance sheet converted at 147</t>
  </si>
  <si>
    <t xml:space="preserve">005930.KS</t>
  </si>
  <si>
    <t xml:space="preserve">KRW converted at 1,380</t>
  </si>
  <si>
    <t xml:space="preserve">DELL</t>
  </si>
  <si>
    <t xml:space="preserve">HPQ</t>
  </si>
  <si>
    <t xml:space="preserve">Median</t>
  </si>
  <si>
    <t xml:space="preserve">Mean</t>
  </si>
  <si>
    <t xml:space="preserve">Peers: mega-cap platforms (MSFT, GOOGL, AMZN, META, NVDA) share Apple's scale and services economics; SONY, Samsung, DELL and HPQ share the hardware business. Net debt/equity uses gross debt less cash, floored at zero (most peers are net cash, so unlevering barely moves the beta). Apple's own regression beta is shown for reference and is close to the peer median.</t>
  </si>
  <si>
    <t xml:space="preserve">COST OF EQUITY (CAPM)</t>
  </si>
  <si>
    <t xml:space="preserve">Unlevered beta (peer median)</t>
  </si>
  <si>
    <t xml:space="preserve">Apple net debt / equity (market; zero — Apple is net cash)</t>
  </si>
  <si>
    <t xml:space="preserve">Relevered beta = βu × (1 + (1 − t) × D/E), Blume-adjusted if selected</t>
  </si>
  <si>
    <t xml:space="preserve">Risk-free rate</t>
  </si>
  <si>
    <t xml:space="preserve">Cost of equity = rf + β × ERP</t>
  </si>
  <si>
    <t xml:space="preserve">COST OF DEBT AND WEIGHTS</t>
  </si>
  <si>
    <t xml:space="preserve">Tax shield rate</t>
  </si>
  <si>
    <t xml:space="preserve">After-tax cost of debt</t>
  </si>
  <si>
    <t xml:space="preserve">Market value of equity (US$bn)</t>
  </si>
  <si>
    <t xml:space="preserve">Debt (US$bn, book, 30 Jun 2026)</t>
  </si>
  <si>
    <t xml:space="preserve">Weight of equity</t>
  </si>
  <si>
    <t xml:space="preserve">Weight of debt</t>
  </si>
  <si>
    <t xml:space="preserve">Apple's market equity (~US$5tn) dwarfs its US$99bn of debt, so WACC ≈ cost of equity. The interview question is not the arithmetic but the ERP: every 0.5% on the ERP moves the WACC by ~0.55% and the value by ~10%.</t>
  </si>
  <si>
    <t xml:space="preserve">Operating forecasts by scenario, copied from Project 1 (Apple_3S_Model.xlsx) so this file stands alone</t>
  </si>
  <si>
    <t xml:space="preserve">LATEST BALANCE-SHEET ITEMS FOR THE EQUITY BRIDGE (US$bn, 30 Jun 2026 10-Q)</t>
  </si>
  <si>
    <t xml:space="preserve">Total debt (current + long-term), 30 Jun 2026</t>
  </si>
  <si>
    <t xml:space="preserve">Form 10-Q, quarter ended 28 Jun 2026: commercial paper + term debt (FY2025 year-end was US$98.7bn)</t>
  </si>
  <si>
    <t xml:space="preserve">Cash, short-term and long-term marketable securities, 30 Jun 2026</t>
  </si>
  <si>
    <t xml:space="preserve">US$62.4bn cash &amp; ST investments + US$84.1bn long-term marketable securities; the latter are liquid and treated as cash</t>
  </si>
  <si>
    <t xml:space="preserve">FY2026E</t>
  </si>
  <si>
    <t xml:space="preserve">FY2027E</t>
  </si>
  <si>
    <t xml:space="preserve">FY2028E</t>
  </si>
  <si>
    <t xml:space="preserve">FY2029E</t>
  </si>
  <si>
    <t xml:space="preserve">FY2030E</t>
  </si>
  <si>
    <t xml:space="preserve">Base case</t>
  </si>
  <si>
    <t xml:space="preserve">Revenue</t>
  </si>
  <si>
    <t xml:space="preserve">EBIT</t>
  </si>
  <si>
    <t xml:space="preserve">Effective tax rate</t>
  </si>
  <si>
    <t xml:space="preserve">D&amp;A</t>
  </si>
  <si>
    <t xml:space="preserve">Capex</t>
  </si>
  <si>
    <t xml:space="preserve">Change in net working capital (+ = inflow)</t>
  </si>
  <si>
    <t xml:space="preserve">Stock-based compensation (memo)</t>
  </si>
  <si>
    <t xml:space="preserve">Upside case</t>
  </si>
  <si>
    <t xml:space="preserve">Downside case</t>
  </si>
  <si>
    <t xml:space="preserve">SELECTED SCENARIO (feeds the DCF)</t>
  </si>
  <si>
    <t xml:space="preserve">Unlevered free cash flow, discounting, terminal value two ways, equity bridge</t>
  </si>
  <si>
    <t xml:space="preserve">UNLEVERED FREE CASH FLOW (US$bn)</t>
  </si>
  <si>
    <t xml:space="preserve">  less: cash taxes on EBIT (at effective rate)</t>
  </si>
  <si>
    <t xml:space="preserve">NOPAT</t>
  </si>
  <si>
    <t xml:space="preserve">  plus: D&amp;A</t>
  </si>
  <si>
    <t xml:space="preserve">  less: capex</t>
  </si>
  <si>
    <t xml:space="preserve">  plus / (less): change in net working capital</t>
  </si>
  <si>
    <t xml:space="preserve">Unlevered free cash flow</t>
  </si>
  <si>
    <t xml:space="preserve">  UFCF margin</t>
  </si>
  <si>
    <t xml:space="preserve">DISCOUNTING</t>
  </si>
  <si>
    <t xml:space="preserve">Year fraction of cash flow in the forecast</t>
  </si>
  <si>
    <t xml:space="preserve">Cash flow attributable to the holder (stub-adjusted)</t>
  </si>
  <si>
    <t xml:space="preserve">Discount period (years from valuation date)</t>
  </si>
  <si>
    <t xml:space="preserve">Discount factor at WACC</t>
  </si>
  <si>
    <t xml:space="preserve">Present value of cash flow</t>
  </si>
  <si>
    <t xml:space="preserve">TERMINAL VALUE (FY2030 base) AND VALUATION</t>
  </si>
  <si>
    <t xml:space="preserve">Terminal value at FY2030</t>
  </si>
  <si>
    <t xml:space="preserve">  discount factor (end of FY2030)</t>
  </si>
  <si>
    <t xml:space="preserve">  terminal value as % of EV</t>
  </si>
  <si>
    <t xml:space="preserve">  less: total debt</t>
  </si>
  <si>
    <t xml:space="preserve">  plus: cash and marketable securities</t>
  </si>
  <si>
    <t xml:space="preserve">  diluted shares (bn)</t>
  </si>
  <si>
    <t xml:space="preserve">  premium / (discount) to current price</t>
  </si>
  <si>
    <t xml:space="preserve">Cross-checks (each method's assumption implied by the other)</t>
  </si>
  <si>
    <t xml:space="preserve">Implied exit EV/EBITDA from perpetuity method</t>
  </si>
  <si>
    <t xml:space="preserve">Implied perpetuity growth from exit-multiple method</t>
  </si>
  <si>
    <t xml:space="preserve">Implied P/E on LTM net income</t>
  </si>
  <si>
    <t xml:space="preserve">Market P/E on LTM net income (for comparison)</t>
  </si>
  <si>
    <t xml:space="preserve">If the perpetuity-growth method implies an exit multiple far from where the peers trade, or the exit-multiple method implies a growth rate above nominal GDP, one of the terminal assumptions is wrong. The two methods should bracket a defensible range rather than agree exactly.</t>
  </si>
  <si>
    <t xml:space="preserve">Two-way tables recomputed with the DCF formula (no Excel data tables, so they work everywhere)</t>
  </si>
  <si>
    <t xml:space="preserve">IMPLIED SHARE PRICE (US$): WACC × TERMINAL GROWTH (perpetuity method)</t>
  </si>
  <si>
    <t xml:space="preserve">WACC ↓  /  g →</t>
  </si>
  <si>
    <t xml:space="preserve">IMPLIED SHARE PRICE (US$): WACC × EXIT EV/EBITDA (exit-multiple method)</t>
  </si>
  <si>
    <t xml:space="preserve">WACC ↓  /  multiple →</t>
  </si>
  <si>
    <t xml:space="preserve">CURRENT PRICE AND SELECTED-CASE OUTPUTS</t>
  </si>
  <si>
    <t xml:space="preserve">WACC (selected)</t>
  </si>
  <si>
    <t xml:space="preserve">Perpetuity-method price</t>
  </si>
  <si>
    <t xml:space="preserve">Exit-multiple price</t>
  </si>
  <si>
    <t xml:space="preserve">Midpoint</t>
  </si>
  <si>
    <t xml:space="preserve">Midpoint vs price</t>
  </si>
  <si>
    <t xml:space="preserve">Read the tables as ranges, not points. With terminal value at 70–80% of enterprise value, a 1% move in WACC or 0.5% in g is a 10–15% move in value; that is a property of every DCF of a mature company and the reason the football field (Project 5) shows a bar, not a line.</t>
  </si>
  <si>
    <t xml:space="preserve">Integrity checks · should all be TRUE</t>
  </si>
  <si>
    <t xml:space="preserve">Perpetuity and exit-multiple methods use the same PV of forecast cash flows</t>
  </si>
  <si>
    <t xml:space="preserve">WACC above terminal growth (perpetuity formula valid)</t>
  </si>
  <si>
    <t xml:space="preserve">Discount periods increase by one year after the stub</t>
  </si>
  <si>
    <t xml:space="preserve">Base-case FY2026 UFCF within 15% of Project 1's FCF (sanity)</t>
  </si>
  <si>
    <t xml:space="preserve">Implied exit multiple from perpetuity method between 10x and 40x</t>
  </si>
  <si>
    <t xml:space="preserve">OVERALL</t>
  </si>
</sst>
</file>

<file path=xl/styles.xml><?xml version="1.0" encoding="utf-8"?>
<styleSheet xmlns="http://schemas.openxmlformats.org/spreadsheetml/2006/main">
  <numFmts count="10">
    <numFmt numFmtId="164" formatCode="General"/>
    <numFmt numFmtId="165" formatCode="#,##0.00;\(#,##0.00\);\-"/>
    <numFmt numFmtId="166" formatCode="0.0%;\(0.0%\);\-"/>
    <numFmt numFmtId="167" formatCode="0.0\x"/>
    <numFmt numFmtId="168" formatCode="#,##0.0;\(#,##0.0\);\-"/>
    <numFmt numFmtId="169" formatCode="0.000"/>
    <numFmt numFmtId="170" formatCode="0.0"/>
    <numFmt numFmtId="171" formatCode="0.00"/>
    <numFmt numFmtId="172" formatCode="0.0000"/>
    <numFmt numFmtId="173" formatCode="General"/>
  </numFmts>
  <fonts count="23">
    <font>
      <sz val="11"/>
      <color theme="1"/>
      <name val="Calibri"/>
      <family val="2"/>
      <charset val="1"/>
    </font>
    <font>
      <sz val="10"/>
      <name val="Arial"/>
      <family val="0"/>
    </font>
    <font>
      <sz val="10"/>
      <name val="Arial"/>
      <family val="0"/>
    </font>
    <font>
      <sz val="10"/>
      <name val="Arial"/>
      <family val="0"/>
    </font>
    <font>
      <b val="true"/>
      <sz val="9"/>
      <color rgb="FF0071E3"/>
      <name val="Arial"/>
      <family val="0"/>
      <charset val="1"/>
    </font>
    <font>
      <b val="true"/>
      <sz val="24"/>
      <color rgb="FF1D1D1F"/>
      <name val="Arial"/>
      <family val="0"/>
      <charset val="1"/>
    </font>
    <font>
      <sz val="15"/>
      <color rgb="FF6E6E73"/>
      <name val="Arial"/>
      <family val="0"/>
      <charset val="1"/>
    </font>
    <font>
      <i val="true"/>
      <sz val="9"/>
      <color rgb="FF7F7F7F"/>
      <name val="Arial"/>
      <family val="0"/>
      <charset val="1"/>
    </font>
    <font>
      <b val="true"/>
      <sz val="10"/>
      <color rgb="FF1D1D1F"/>
      <name val="Arial"/>
      <family val="0"/>
      <charset val="1"/>
    </font>
    <font>
      <sz val="10"/>
      <name val="Arial"/>
      <family val="0"/>
      <charset val="1"/>
    </font>
    <font>
      <sz val="10"/>
      <color rgb="FF0000FF"/>
      <name val="Arial"/>
      <family val="0"/>
      <charset val="1"/>
    </font>
    <font>
      <sz val="10"/>
      <color rgb="FF008000"/>
      <name val="Arial"/>
      <family val="0"/>
      <charset val="1"/>
    </font>
    <font>
      <sz val="10"/>
      <color rgb="FF0000FF"/>
      <name val="Arial"/>
      <family val="0"/>
      <charset val="1"/>
    </font>
    <font>
      <sz val="10"/>
      <color rgb="FF000000"/>
      <name val="Arial"/>
      <family val="0"/>
      <charset val="1"/>
    </font>
    <font>
      <b val="true"/>
      <sz val="16"/>
      <color rgb="FFFFFFFF"/>
      <name val="Arial"/>
      <family val="0"/>
      <charset val="1"/>
    </font>
    <font>
      <b val="true"/>
      <sz val="9"/>
      <color rgb="FFFFFFFF"/>
      <name val="Arial"/>
      <family val="0"/>
      <charset val="1"/>
    </font>
    <font>
      <sz val="10"/>
      <color rgb="FFFFFFFF"/>
      <name val="Arial"/>
      <family val="0"/>
      <charset val="1"/>
    </font>
    <font>
      <b val="true"/>
      <sz val="10"/>
      <color rgb="FF0071E3"/>
      <name val="Arial"/>
      <family val="0"/>
      <charset val="1"/>
    </font>
    <font>
      <b val="true"/>
      <sz val="10"/>
      <color rgb="FFFFFFFF"/>
      <name val="Arial"/>
      <family val="0"/>
      <charset val="1"/>
    </font>
    <font>
      <b val="true"/>
      <sz val="10"/>
      <name val="Arial"/>
      <family val="0"/>
      <charset val="1"/>
    </font>
    <font>
      <b val="true"/>
      <sz val="11"/>
      <color rgb="FF0000FF"/>
      <name val="Arial"/>
      <family val="0"/>
      <charset val="1"/>
    </font>
    <font>
      <b val="true"/>
      <sz val="11"/>
      <name val="Arial"/>
      <family val="0"/>
      <charset val="1"/>
    </font>
    <font>
      <b val="true"/>
      <sz val="11"/>
      <color rgb="FFFFFFFF"/>
      <name val="Arial"/>
      <family val="0"/>
      <charset val="1"/>
    </font>
  </fonts>
  <fills count="6">
    <fill>
      <patternFill patternType="none"/>
    </fill>
    <fill>
      <patternFill patternType="gray125"/>
    </fill>
    <fill>
      <patternFill patternType="solid">
        <fgColor rgb="FF1D1D1F"/>
        <bgColor rgb="FF333300"/>
      </patternFill>
    </fill>
    <fill>
      <patternFill patternType="solid">
        <fgColor rgb="FF0071E3"/>
        <bgColor rgb="FF3366FF"/>
      </patternFill>
    </fill>
    <fill>
      <patternFill patternType="solid">
        <fgColor rgb="FFF5F5F7"/>
        <bgColor rgb="FFFFFFFF"/>
      </patternFill>
    </fill>
    <fill>
      <patternFill patternType="solid">
        <fgColor rgb="FF6E6E73"/>
        <bgColor rgb="FF7F7F7F"/>
      </patternFill>
    </fill>
  </fills>
  <borders count="3">
    <border diagonalUp="false" diagonalDown="false">
      <left/>
      <right/>
      <top/>
      <bottom/>
      <diagonal/>
    </border>
    <border diagonalUp="false" diagonalDown="false">
      <left/>
      <right/>
      <top style="thin"/>
      <bottom/>
      <diagonal/>
    </border>
    <border diagonalUp="false" diagonalDown="false">
      <left/>
      <right/>
      <top style="thin"/>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5" fontId="11" fillId="4" borderId="0" xfId="0" applyFont="true" applyBorder="false" applyAlignment="true" applyProtection="false">
      <alignment horizontal="right" vertical="bottom" textRotation="0" wrapText="false" indent="0" shrinkToFit="false"/>
      <protection locked="true" hidden="false"/>
    </xf>
    <xf numFmtId="166" fontId="11" fillId="4" borderId="0" xfId="0" applyFont="true" applyBorder="false" applyAlignment="true" applyProtection="false">
      <alignment horizontal="right" vertical="bottom" textRotation="0" wrapText="false" indent="0" shrinkToFit="false"/>
      <protection locked="true" hidden="false"/>
    </xf>
    <xf numFmtId="164" fontId="11" fillId="4" borderId="0" xfId="0" applyFont="true" applyBorder="false" applyAlignment="true" applyProtection="false">
      <alignment horizontal="right"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general" vertical="center" textRotation="0" wrapText="false" indent="0" shrinkToFit="false"/>
      <protection locked="true" hidden="false"/>
    </xf>
    <xf numFmtId="164" fontId="15" fillId="2" borderId="0" xfId="0" applyFont="true" applyBorder="false" applyAlignment="true" applyProtection="false">
      <alignment horizontal="right" vertical="center" textRotation="0" wrapText="false" indent="0" shrinkToFit="false"/>
      <protection locked="true" hidden="false"/>
    </xf>
    <xf numFmtId="164" fontId="16" fillId="2"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2" borderId="0" xfId="0" applyFont="true" applyBorder="false" applyAlignment="false" applyProtection="false">
      <alignment horizontal="general" vertical="bottom" textRotation="0" wrapText="false" indent="0" shrinkToFit="false"/>
      <protection locked="true" hidden="false"/>
    </xf>
    <xf numFmtId="164" fontId="18" fillId="5" borderId="0" xfId="0" applyFont="true" applyBorder="false" applyAlignment="true" applyProtection="false">
      <alignment horizontal="center"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4" fontId="20" fillId="3"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9" fontId="12"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70" fontId="12" fillId="0" borderId="0" xfId="0" applyFont="true" applyBorder="false" applyAlignment="false" applyProtection="false">
      <alignment horizontal="general" vertical="bottom" textRotation="0" wrapText="false" indent="0" shrinkToFit="false"/>
      <protection locked="true" hidden="false"/>
    </xf>
    <xf numFmtId="164" fontId="18" fillId="5" borderId="0" xfId="0" applyFont="true" applyBorder="false" applyAlignment="true" applyProtection="false">
      <alignment horizontal="center" vertical="bottom" textRotation="0" wrapText="true" indent="0" shrinkToFit="false"/>
      <protection locked="true" hidden="false"/>
    </xf>
    <xf numFmtId="171" fontId="12" fillId="0" borderId="0" xfId="0" applyFont="true" applyBorder="false" applyAlignment="false" applyProtection="false">
      <alignment horizontal="general" vertical="bottom" textRotation="0" wrapText="false" indent="0" shrinkToFit="false"/>
      <protection locked="true" hidden="false"/>
    </xf>
    <xf numFmtId="171" fontId="13" fillId="0" borderId="0" xfId="0" applyFont="true" applyBorder="false" applyAlignment="false" applyProtection="false">
      <alignment horizontal="general" vertical="bottom" textRotation="0" wrapText="false" indent="0" shrinkToFit="false"/>
      <protection locked="true" hidden="false"/>
    </xf>
    <xf numFmtId="171" fontId="13" fillId="0" borderId="1" xfId="0" applyFont="true" applyBorder="tru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68" fontId="13" fillId="0" borderId="0" xfId="0" applyFont="true" applyBorder="false" applyAlignment="false" applyProtection="false">
      <alignment horizontal="general" vertical="bottom" textRotation="0" wrapText="false" indent="0" shrinkToFit="false"/>
      <protection locked="true" hidden="false"/>
    </xf>
    <xf numFmtId="166" fontId="21" fillId="0" borderId="2" xfId="0" applyFont="true" applyBorder="true" applyAlignment="false" applyProtection="false">
      <alignment horizontal="general" vertical="bottom" textRotation="0" wrapText="false" indent="0" shrinkToFit="false"/>
      <protection locked="true" hidden="false"/>
    </xf>
    <xf numFmtId="164" fontId="18" fillId="5" borderId="0" xfId="0" applyFont="true" applyBorder="false" applyAlignment="true" applyProtection="false">
      <alignment horizontal="center" vertical="center"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8" fontId="13" fillId="4" borderId="0" xfId="0" applyFont="true" applyBorder="false" applyAlignment="false" applyProtection="false">
      <alignment horizontal="general" vertical="bottom" textRotation="0" wrapText="false" indent="0" shrinkToFit="false"/>
      <protection locked="true" hidden="false"/>
    </xf>
    <xf numFmtId="166" fontId="13" fillId="4" borderId="0" xfId="0" applyFont="true" applyBorder="false" applyAlignment="false" applyProtection="false">
      <alignment horizontal="general" vertical="bottom" textRotation="0" wrapText="false" indent="0" shrinkToFit="false"/>
      <protection locked="true" hidden="false"/>
    </xf>
    <xf numFmtId="168" fontId="13" fillId="0" borderId="1" xfId="0" applyFont="true" applyBorder="true" applyAlignment="false" applyProtection="false">
      <alignment horizontal="general" vertical="bottom" textRotation="0" wrapText="false" indent="0" shrinkToFit="false"/>
      <protection locked="true" hidden="false"/>
    </xf>
    <xf numFmtId="168" fontId="13" fillId="0" borderId="2" xfId="0" applyFont="true" applyBorder="true" applyAlignment="false" applyProtection="false">
      <alignment horizontal="general" vertical="bottom" textRotation="0" wrapText="false" indent="0" shrinkToFit="false"/>
      <protection locked="true" hidden="false"/>
    </xf>
    <xf numFmtId="172" fontId="13" fillId="0" borderId="0" xfId="0" applyFont="true" applyBorder="false" applyAlignment="false" applyProtection="false">
      <alignment horizontal="general" vertical="bottom" textRotation="0" wrapText="false" indent="0" shrinkToFit="false"/>
      <protection locked="true" hidden="false"/>
    </xf>
    <xf numFmtId="169" fontId="13" fillId="0" borderId="0" xfId="0" applyFont="true" applyBorder="false" applyAlignment="false" applyProtection="false">
      <alignment horizontal="general" vertical="bottom" textRotation="0" wrapText="false" indent="0" shrinkToFit="false"/>
      <protection locked="true" hidden="false"/>
    </xf>
    <xf numFmtId="165" fontId="13" fillId="0" borderId="2" xfId="0" applyFont="true" applyBorder="tru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66" fontId="18" fillId="5" borderId="0" xfId="0" applyFont="true" applyBorder="false" applyAlignment="true" applyProtection="false">
      <alignment horizontal="center"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7" fontId="18" fillId="5" borderId="0" xfId="0" applyFont="true" applyBorder="false" applyAlignment="true" applyProtection="false">
      <alignment horizontal="center" vertical="bottom" textRotation="0" wrapText="false" indent="0" shrinkToFit="false"/>
      <protection locked="true" hidden="false"/>
    </xf>
    <xf numFmtId="173" fontId="13" fillId="0" borderId="0" xfId="0" applyFont="true" applyBorder="false" applyAlignment="false" applyProtection="false">
      <alignment horizontal="general" vertical="bottom" textRotation="0" wrapText="false" indent="0" shrinkToFit="false"/>
      <protection locked="true" hidden="false"/>
    </xf>
    <xf numFmtId="164" fontId="22"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5F5F7"/>
      <rgbColor rgb="FFCCFFFF"/>
      <rgbColor rgb="FF660066"/>
      <rgbColor rgb="FFFF8080"/>
      <rgbColor rgb="FF0071E3"/>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E6E73"/>
      <rgbColor rgb="FF969696"/>
      <rgbColor rgb="FF003366"/>
      <rgbColor rgb="FF339966"/>
      <rgbColor rgb="FF003300"/>
      <rgbColor rgb="FF333300"/>
      <rgbColor rgb="FF993300"/>
      <rgbColor rgb="FF993366"/>
      <rgbColor rgb="FF333399"/>
      <rgbColor rgb="FF1D1D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Apple_DCF.xlsx" TargetMode="External"/><Relationship Id="rId2" Type="http://schemas.openxmlformats.org/officeDocument/2006/relationships/hyperlink" Target="Apple_DCF.xlsx" TargetMode="External"/><Relationship Id="rId3" Type="http://schemas.openxmlformats.org/officeDocument/2006/relationships/hyperlink" Target="Apple_DCF.xlsx" TargetMode="External"/><Relationship Id="rId4" Type="http://schemas.openxmlformats.org/officeDocument/2006/relationships/hyperlink" Target="Apple_DCF.xlsx" TargetMode="External"/><Relationship Id="rId5" Type="http://schemas.openxmlformats.org/officeDocument/2006/relationships/hyperlink" Target="Apple_DCF.xlsx" TargetMode="External"/><Relationship Id="rId6" Type="http://schemas.openxmlformats.org/officeDocument/2006/relationships/hyperlink" Target="Apple_DCF.xlsx" TargetMode="External"/><Relationship Id="rId7" Type="http://schemas.openxmlformats.org/officeDocument/2006/relationships/hyperlink" Target="Apple_DCF.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62"/>
    <col collapsed="false" customWidth="true" hidden="false" outlineLevel="0" max="4" min="4" style="0" width="3"/>
    <col collapsed="false" customWidth="true" hidden="false" outlineLevel="0" max="5" min="5" style="0" width="24"/>
    <col collapsed="false" customWidth="true" hidden="false" outlineLevel="0" max="6" min="6" style="0" width="14"/>
  </cols>
  <sheetData>
    <row r="1" customFormat="false" ht="7.5" hidden="false" customHeight="true" outlineLevel="0" collapsed="false">
      <c r="A1" s="1"/>
    </row>
    <row r="2" customFormat="false" ht="15" hidden="false" customHeight="false" outlineLevel="0" collapsed="false">
      <c r="A2" s="1"/>
    </row>
    <row r="3" customFormat="false" ht="15" hidden="false" customHeight="false" outlineLevel="0" collapsed="false">
      <c r="A3" s="1"/>
      <c r="B3" s="2" t="s">
        <v>0</v>
      </c>
    </row>
    <row r="4" customFormat="false" ht="31.5" hidden="false" customHeight="true" outlineLevel="0" collapsed="false">
      <c r="A4" s="1"/>
      <c r="B4" s="3" t="s">
        <v>1</v>
      </c>
    </row>
    <row r="5" customFormat="false" ht="21.75" hidden="false" customHeight="true" outlineLevel="0" collapsed="false">
      <c r="A5" s="1"/>
      <c r="B5" s="4" t="s">
        <v>2</v>
      </c>
    </row>
    <row r="6" customFormat="false" ht="15" hidden="false" customHeight="false" outlineLevel="0" collapsed="false">
      <c r="A6" s="1"/>
      <c r="B6" s="5" t="s">
        <v>3</v>
      </c>
    </row>
    <row r="7" customFormat="false" ht="3" hidden="false" customHeight="true" outlineLevel="0" collapsed="false">
      <c r="A7" s="1"/>
      <c r="B7" s="6"/>
      <c r="C7" s="6"/>
      <c r="D7" s="6"/>
      <c r="E7" s="6"/>
      <c r="F7" s="6"/>
    </row>
    <row r="8" customFormat="false" ht="15" hidden="false" customHeight="false" outlineLevel="0" collapsed="false">
      <c r="A8" s="1"/>
    </row>
    <row r="9" customFormat="false" ht="60" hidden="false" customHeight="true" outlineLevel="0" collapsed="false">
      <c r="A9" s="1"/>
      <c r="B9" s="7" t="s">
        <v>4</v>
      </c>
      <c r="C9" s="8" t="s">
        <v>5</v>
      </c>
      <c r="D9" s="8"/>
      <c r="E9" s="8"/>
      <c r="F9" s="8"/>
    </row>
    <row r="10" customFormat="false" ht="15" hidden="false" customHeight="false" outlineLevel="0" collapsed="false">
      <c r="A10" s="1"/>
    </row>
    <row r="11" customFormat="false" ht="45" hidden="false" customHeight="true" outlineLevel="0" collapsed="false">
      <c r="A11" s="1"/>
      <c r="B11" s="7" t="s">
        <v>6</v>
      </c>
      <c r="C11" s="8" t="s">
        <v>7</v>
      </c>
      <c r="D11" s="8"/>
      <c r="E11" s="8"/>
      <c r="F11" s="8"/>
    </row>
    <row r="12" customFormat="false" ht="30" hidden="false" customHeight="true" outlineLevel="0" collapsed="false">
      <c r="A12" s="1"/>
      <c r="C12" s="8" t="s">
        <v>8</v>
      </c>
      <c r="D12" s="8"/>
      <c r="E12" s="8"/>
      <c r="F12" s="8"/>
    </row>
    <row r="13" customFormat="false" ht="30" hidden="false" customHeight="true" outlineLevel="0" collapsed="false">
      <c r="A13" s="1"/>
      <c r="C13" s="8" t="s">
        <v>9</v>
      </c>
      <c r="D13" s="8"/>
      <c r="E13" s="8"/>
      <c r="F13" s="8"/>
    </row>
    <row r="14" customFormat="false" ht="30" hidden="false" customHeight="true" outlineLevel="0" collapsed="false">
      <c r="A14" s="1"/>
      <c r="C14" s="8" t="s">
        <v>10</v>
      </c>
      <c r="D14" s="8"/>
      <c r="E14" s="8"/>
      <c r="F14" s="8"/>
    </row>
    <row r="15" customFormat="false" ht="15" hidden="false" customHeight="false" outlineLevel="0" collapsed="false">
      <c r="A15" s="1"/>
    </row>
    <row r="16" customFormat="false" ht="15" hidden="false" customHeight="false" outlineLevel="0" collapsed="false">
      <c r="A16" s="1"/>
      <c r="B16" s="7" t="s">
        <v>11</v>
      </c>
      <c r="C16" s="9" t="s">
        <v>12</v>
      </c>
      <c r="D16" s="9"/>
      <c r="E16" s="9"/>
      <c r="F16" s="9"/>
    </row>
    <row r="17" customFormat="false" ht="15" hidden="false" customHeight="false" outlineLevel="0" collapsed="false">
      <c r="A17" s="1"/>
      <c r="C17" s="9" t="s">
        <v>13</v>
      </c>
      <c r="D17" s="9"/>
      <c r="E17" s="9"/>
      <c r="F17" s="9"/>
    </row>
    <row r="18" customFormat="false" ht="15" hidden="false" customHeight="false" outlineLevel="0" collapsed="false">
      <c r="A18" s="1"/>
      <c r="C18" s="9" t="s">
        <v>14</v>
      </c>
      <c r="D18" s="9"/>
      <c r="E18" s="9"/>
      <c r="F18" s="9"/>
    </row>
    <row r="19" customFormat="false" ht="15" hidden="false" customHeight="false" outlineLevel="0" collapsed="false">
      <c r="A19" s="1"/>
      <c r="C19" s="9" t="s">
        <v>15</v>
      </c>
      <c r="D19" s="9"/>
      <c r="E19" s="9"/>
      <c r="F19" s="9"/>
    </row>
    <row r="20" customFormat="false" ht="15" hidden="false" customHeight="false" outlineLevel="0" collapsed="false">
      <c r="A20" s="1"/>
      <c r="C20" s="9" t="s">
        <v>16</v>
      </c>
      <c r="D20" s="9"/>
      <c r="E20" s="9"/>
      <c r="F20" s="9"/>
    </row>
    <row r="21" customFormat="false" ht="15" hidden="false" customHeight="false" outlineLevel="0" collapsed="false">
      <c r="A21" s="1"/>
      <c r="C21" s="9" t="s">
        <v>17</v>
      </c>
      <c r="D21" s="9"/>
      <c r="E21" s="9"/>
      <c r="F21" s="9"/>
    </row>
    <row r="22" customFormat="false" ht="15" hidden="false" customHeight="false" outlineLevel="0" collapsed="false">
      <c r="A22" s="1"/>
      <c r="C22" s="9" t="s">
        <v>18</v>
      </c>
      <c r="D22" s="9"/>
      <c r="E22" s="9"/>
      <c r="F22" s="9"/>
    </row>
    <row r="23" customFormat="false" ht="15" hidden="false" customHeight="false" outlineLevel="0" collapsed="false">
      <c r="A23" s="1"/>
    </row>
    <row r="24" customFormat="false" ht="15" hidden="false" customHeight="false" outlineLevel="0" collapsed="false">
      <c r="A24" s="1"/>
      <c r="B24" s="7" t="s">
        <v>19</v>
      </c>
      <c r="C24" s="10" t="s">
        <v>20</v>
      </c>
      <c r="D24" s="11"/>
      <c r="E24" s="12" t="n">
        <f aca="false">DCF!C35</f>
        <v>132.589350269156</v>
      </c>
    </row>
    <row r="25" customFormat="false" ht="15" hidden="false" customHeight="false" outlineLevel="0" collapsed="false">
      <c r="A25" s="1"/>
      <c r="C25" s="10" t="s">
        <v>21</v>
      </c>
      <c r="D25" s="11"/>
      <c r="E25" s="12" t="n">
        <f aca="false">DCF!E35</f>
        <v>224.438327921568</v>
      </c>
    </row>
    <row r="26" customFormat="false" ht="15" hidden="false" customHeight="false" outlineLevel="0" collapsed="false">
      <c r="A26" s="1"/>
      <c r="C26" s="10" t="s">
        <v>22</v>
      </c>
      <c r="D26" s="11"/>
      <c r="E26" s="12" t="n">
        <f aca="false">Inputs!$C$7</f>
        <v>332.27</v>
      </c>
    </row>
    <row r="27" customFormat="false" ht="15" hidden="false" customHeight="false" outlineLevel="0" collapsed="false">
      <c r="A27" s="1"/>
      <c r="C27" s="10" t="s">
        <v>23</v>
      </c>
      <c r="D27" s="11"/>
      <c r="E27" s="13" t="n">
        <f aca="false">WACC!$C$37</f>
        <v>0.0991215197286124</v>
      </c>
    </row>
    <row r="28" customFormat="false" ht="15" hidden="false" customHeight="false" outlineLevel="0" collapsed="false">
      <c r="A28" s="1"/>
      <c r="C28" s="10" t="s">
        <v>24</v>
      </c>
      <c r="D28" s="11"/>
      <c r="E28" s="14" t="str">
        <f aca="false">Checks!C10</f>
        <v>MODEL OK</v>
      </c>
    </row>
    <row r="29" customFormat="false" ht="15" hidden="false" customHeight="false" outlineLevel="0" collapsed="false">
      <c r="A29" s="1"/>
    </row>
    <row r="30" customFormat="false" ht="15" hidden="false" customHeight="false" outlineLevel="0" collapsed="false">
      <c r="A30" s="1"/>
      <c r="B30" s="7" t="s">
        <v>25</v>
      </c>
      <c r="C30" s="15" t="s">
        <v>26</v>
      </c>
    </row>
    <row r="31" customFormat="false" ht="15" hidden="false" customHeight="false" outlineLevel="0" collapsed="false">
      <c r="A31" s="1"/>
      <c r="C31" s="16" t="s">
        <v>27</v>
      </c>
    </row>
    <row r="32" customFormat="false" ht="15" hidden="false" customHeight="false" outlineLevel="0" collapsed="false">
      <c r="A32" s="1"/>
      <c r="C32" s="17" t="s">
        <v>28</v>
      </c>
    </row>
    <row r="33" customFormat="false" ht="15" hidden="false" customHeight="false" outlineLevel="0" collapsed="false">
      <c r="A33" s="1"/>
      <c r="C33" s="18" t="s">
        <v>29</v>
      </c>
    </row>
    <row r="34" customFormat="false" ht="15" hidden="false" customHeight="false" outlineLevel="0" collapsed="false">
      <c r="A34" s="1"/>
    </row>
    <row r="35" customFormat="false" ht="13.5" hidden="false" customHeight="true" outlineLevel="0" collapsed="false">
      <c r="A35" s="1"/>
      <c r="B35" s="7" t="s">
        <v>30</v>
      </c>
      <c r="C35" s="19" t="s">
        <v>31</v>
      </c>
      <c r="D35" s="19"/>
      <c r="E35" s="19"/>
      <c r="F35" s="19"/>
    </row>
    <row r="36" customFormat="false" ht="13.5" hidden="false" customHeight="true" outlineLevel="0" collapsed="false">
      <c r="A36" s="1"/>
      <c r="C36" s="19" t="s">
        <v>32</v>
      </c>
      <c r="D36" s="19"/>
      <c r="E36" s="19"/>
      <c r="F36" s="19"/>
    </row>
    <row r="37" customFormat="false" ht="13.5" hidden="false" customHeight="true" outlineLevel="0" collapsed="false">
      <c r="A37" s="1"/>
      <c r="C37" s="19" t="s">
        <v>33</v>
      </c>
      <c r="D37" s="19"/>
      <c r="E37" s="19"/>
      <c r="F37" s="19"/>
    </row>
    <row r="38" customFormat="false" ht="13.5" hidden="false" customHeight="true" outlineLevel="0" collapsed="false">
      <c r="A38" s="1"/>
      <c r="C38" s="19" t="s">
        <v>34</v>
      </c>
      <c r="D38" s="19"/>
      <c r="E38" s="19"/>
      <c r="F38" s="19"/>
    </row>
    <row r="39" customFormat="false" ht="15" hidden="false" customHeight="false" outlineLevel="0" collapsed="false">
      <c r="A39" s="1"/>
    </row>
    <row r="40" customFormat="false" ht="15" hidden="false" customHeight="false" outlineLevel="0" collapsed="false">
      <c r="A40" s="1"/>
      <c r="B40" s="7" t="s">
        <v>35</v>
      </c>
      <c r="C40" s="20" t="s">
        <v>36</v>
      </c>
    </row>
    <row r="41" customFormat="false" ht="15" hidden="false" customHeight="false" outlineLevel="0" collapsed="false">
      <c r="A41" s="1"/>
    </row>
    <row r="42" customFormat="false" ht="15" hidden="false" customHeight="false" outlineLevel="0" collapsed="false">
      <c r="A42" s="1"/>
    </row>
    <row r="43" customFormat="false" ht="15" hidden="false" customHeight="false" outlineLevel="0" collapsed="false">
      <c r="A43" s="1"/>
    </row>
    <row r="44" customFormat="false" ht="15" hidden="false" customHeight="false" outlineLevel="0" collapsed="false">
      <c r="A44" s="1"/>
    </row>
    <row r="45" customFormat="false" ht="15" hidden="false" customHeight="false" outlineLevel="0" collapsed="false">
      <c r="A45" s="1"/>
    </row>
  </sheetData>
  <mergeCells count="16">
    <mergeCell ref="C9:F9"/>
    <mergeCell ref="C11:F11"/>
    <mergeCell ref="C12:F12"/>
    <mergeCell ref="C13:F13"/>
    <mergeCell ref="C14:F14"/>
    <mergeCell ref="C16:F16"/>
    <mergeCell ref="C17:F17"/>
    <mergeCell ref="C18:F18"/>
    <mergeCell ref="C19:F19"/>
    <mergeCell ref="C20:F20"/>
    <mergeCell ref="C21:F21"/>
    <mergeCell ref="C22:F22"/>
    <mergeCell ref="C35:F35"/>
    <mergeCell ref="C36:F36"/>
    <mergeCell ref="C37:F37"/>
    <mergeCell ref="C38:F38"/>
  </mergeCells>
  <hyperlinks>
    <hyperlink ref="C16" r:id="rId1" location="'Summary'!A1" display="Summary  —  valuation by both terminal methods and how to read it"/>
    <hyperlink ref="C17" r:id="rId2" location="'Inputs'!A1" display="Inputs  —  market data, rates, terminal assumptions, scenario selector"/>
    <hyperlink ref="C18" r:id="rId3" location="'WACC'!A1" display="WACC  —  peer betas, unlever/relever, CAPM, cost of debt, weights"/>
    <hyperlink ref="C19" r:id="rId4" location="'Operating'!A1" display="Operating  —  three operating cases from the Project 1 model"/>
    <hyperlink ref="C20" r:id="rId5" location="'DCF'!A1" display="DCF  —  UFCF, discounting with stub and mid-year convention, terminal value, equity bridge"/>
    <hyperlink ref="C21" r:id="rId6" location="'Sensitivity'!A1" display="Sensitivity  —  WACC × g and WACC × exit multiple"/>
    <hyperlink ref="C22" r:id="rId7" location="'Checks'!A1" display="Checks  —  integrity checks"/>
  </hyperlinks>
  <printOptions headings="false" gridLines="false" gridLinesSet="true" horizontalCentered="true" verticalCentered="false"/>
  <pageMargins left="0.4" right="0.4" top="0.5" bottom="0.55" header="0.5" footer="0.5"/>
  <pageSetup paperSize="9" scale="100" fitToWidth="1" fitToHeight="0" pageOrder="downThenOver" orientation="portrait" blackAndWhite="false" draft="false" cellComments="none" horizontalDpi="300" verticalDpi="300" copies="1"/>
  <headerFooter differentFirst="false" differentOddEven="false">
    <oddHeader>&amp;L&amp;"Arial,Bold"&amp;8Apple Inc. — DCF Valuation&amp;R&amp;"Arial,Regular"&amp;8Cover</oddHeader>
    <oddFooter>&amp;L&amp;"Arial,Regular"&amp;8Jainam Mehta · github.com/jainammehta1215/ib-portfolio&amp;C&amp;"Arial,Regular"&amp;8Blue = input · Black = formula · Green = link&amp;R&amp;"Arial,Regular"&amp;8Page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6"/>
    <col collapsed="false" customWidth="true" hidden="false" outlineLevel="0" max="6" min="3" style="0" width="12"/>
  </cols>
  <sheetData>
    <row r="1" customFormat="false" ht="30" hidden="false" customHeight="true" outlineLevel="0" collapsed="false">
      <c r="A1" s="1"/>
      <c r="B1" s="21" t="s">
        <v>37</v>
      </c>
      <c r="C1" s="1"/>
      <c r="D1" s="1"/>
      <c r="E1" s="1"/>
      <c r="F1" s="22" t="s">
        <v>38</v>
      </c>
    </row>
    <row r="2" customFormat="false" ht="18" hidden="false" customHeight="true" outlineLevel="0" collapsed="false">
      <c r="A2" s="1"/>
      <c r="B2" s="23" t="s">
        <v>39</v>
      </c>
      <c r="C2" s="1"/>
      <c r="D2" s="1"/>
      <c r="E2" s="1"/>
      <c r="F2" s="1"/>
    </row>
    <row r="3" customFormat="false" ht="15" hidden="false" customHeight="false" outlineLevel="0" collapsed="false">
      <c r="B3" s="24" t="str">
        <f aca="false">"Scenario: "&amp;Inputs!$D$5</f>
        <v>Scenario: Base</v>
      </c>
    </row>
    <row r="4" customFormat="false" ht="15.75" hidden="false" customHeight="true" outlineLevel="0" collapsed="false">
      <c r="B4" s="25" t="s">
        <v>40</v>
      </c>
      <c r="C4" s="1"/>
      <c r="D4" s="1"/>
      <c r="E4" s="1"/>
      <c r="F4" s="1"/>
    </row>
    <row r="5" customFormat="false" ht="15" hidden="false" customHeight="false" outlineLevel="0" collapsed="false">
      <c r="C5" s="26" t="s">
        <v>41</v>
      </c>
      <c r="D5" s="26" t="s">
        <v>42</v>
      </c>
    </row>
    <row r="6" customFormat="false" ht="15" hidden="false" customHeight="false" outlineLevel="0" collapsed="false">
      <c r="B6" s="20" t="s">
        <v>23</v>
      </c>
      <c r="C6" s="27" t="n">
        <f aca="false">WACC!$C$37</f>
        <v>0.0991215197286124</v>
      </c>
      <c r="D6" s="27" t="n">
        <f aca="false">WACC!$C$37</f>
        <v>0.0991215197286124</v>
      </c>
    </row>
    <row r="7" customFormat="false" ht="15" hidden="false" customHeight="false" outlineLevel="0" collapsed="false">
      <c r="B7" s="20" t="s">
        <v>43</v>
      </c>
      <c r="C7" s="27" t="n">
        <f aca="false">Inputs!$C$13</f>
        <v>0.03</v>
      </c>
      <c r="D7" s="28" t="n">
        <f aca="false">Inputs!$C$15</f>
        <v>22</v>
      </c>
    </row>
    <row r="8" customFormat="false" ht="15" hidden="false" customHeight="false" outlineLevel="0" collapsed="false">
      <c r="B8" s="20" t="s">
        <v>44</v>
      </c>
      <c r="C8" s="29" t="n">
        <f aca="false">DCF!C28</f>
        <v>444.376821828398</v>
      </c>
      <c r="D8" s="29" t="n">
        <f aca="false">DCF!E28</f>
        <v>444.376821828398</v>
      </c>
    </row>
    <row r="9" customFormat="false" ht="15" hidden="false" customHeight="false" outlineLevel="0" collapsed="false">
      <c r="B9" s="20" t="s">
        <v>45</v>
      </c>
      <c r="C9" s="29" t="n">
        <f aca="false">DCF!C27</f>
        <v>1444.49546738224</v>
      </c>
      <c r="D9" s="29" t="n">
        <f aca="false">DCF!E27</f>
        <v>2796.05317353747</v>
      </c>
    </row>
    <row r="10" customFormat="false" ht="15" hidden="false" customHeight="false" outlineLevel="0" collapsed="false">
      <c r="B10" s="20" t="s">
        <v>46</v>
      </c>
      <c r="C10" s="29" t="n">
        <f aca="false">DCF!C29</f>
        <v>1888.87228921064</v>
      </c>
      <c r="D10" s="29" t="n">
        <f aca="false">DCF!E29</f>
        <v>3240.42999536587</v>
      </c>
    </row>
    <row r="11" customFormat="false" ht="15" hidden="false" customHeight="false" outlineLevel="0" collapsed="false">
      <c r="B11" s="20" t="s">
        <v>47</v>
      </c>
      <c r="C11" s="29" t="n">
        <f aca="false">DCF!C31+DCF!C32</f>
        <v>62.18</v>
      </c>
      <c r="D11" s="29" t="n">
        <f aca="false">DCF!E31+DCF!E32</f>
        <v>62.18</v>
      </c>
    </row>
    <row r="12" customFormat="false" ht="15" hidden="false" customHeight="false" outlineLevel="0" collapsed="false">
      <c r="B12" s="20" t="s">
        <v>48</v>
      </c>
      <c r="C12" s="29" t="n">
        <f aca="false">DCF!C33</f>
        <v>1951.05228921064</v>
      </c>
      <c r="D12" s="29" t="n">
        <f aca="false">DCF!E33</f>
        <v>3302.60999536587</v>
      </c>
    </row>
    <row r="13" customFormat="false" ht="15" hidden="false" customHeight="false" outlineLevel="0" collapsed="false">
      <c r="B13" s="30" t="s">
        <v>49</v>
      </c>
      <c r="C13" s="31" t="n">
        <f aca="false">DCF!C35</f>
        <v>132.589350269156</v>
      </c>
      <c r="D13" s="31" t="n">
        <f aca="false">DCF!E35</f>
        <v>224.438327921568</v>
      </c>
    </row>
    <row r="14" customFormat="false" ht="15" hidden="false" customHeight="false" outlineLevel="0" collapsed="false">
      <c r="B14" s="20" t="s">
        <v>50</v>
      </c>
      <c r="C14" s="31" t="n">
        <f aca="false">Inputs!$C$7</f>
        <v>332.27</v>
      </c>
      <c r="D14" s="31" t="n">
        <f aca="false">Inputs!$C$7</f>
        <v>332.27</v>
      </c>
    </row>
    <row r="15" customFormat="false" ht="15" hidden="false" customHeight="false" outlineLevel="0" collapsed="false">
      <c r="B15" s="20" t="s">
        <v>51</v>
      </c>
      <c r="C15" s="27" t="n">
        <f aca="false">DCF!C36</f>
        <v>-0.600959008429421</v>
      </c>
      <c r="D15" s="27" t="n">
        <f aca="false">DCF!E36</f>
        <v>-0.324530267789546</v>
      </c>
    </row>
    <row r="16" customFormat="false" ht="15" hidden="false" customHeight="false" outlineLevel="0" collapsed="false">
      <c r="B16" s="20" t="s">
        <v>52</v>
      </c>
      <c r="C16" s="27" t="n">
        <f aca="false">DCF!C30</f>
        <v>0.764739615077892</v>
      </c>
      <c r="D16" s="27" t="n">
        <f aca="false">DCF!E30</f>
        <v>0.862864859767407</v>
      </c>
    </row>
    <row r="17" customFormat="false" ht="15" hidden="false" customHeight="false" outlineLevel="0" collapsed="false">
      <c r="B17" s="20" t="s">
        <v>53</v>
      </c>
      <c r="C17" s="28" t="n">
        <f aca="false">DCF!C39</f>
        <v>11.3656280156517</v>
      </c>
      <c r="D17" s="27" t="n">
        <f aca="false">DCF!E40</f>
        <v>0.0622924371880801</v>
      </c>
    </row>
    <row r="20" customFormat="false" ht="15.75" hidden="false" customHeight="true" outlineLevel="0" collapsed="false">
      <c r="B20" s="25" t="s">
        <v>54</v>
      </c>
      <c r="C20" s="1"/>
      <c r="D20" s="1"/>
      <c r="E20" s="1"/>
      <c r="F20" s="1"/>
    </row>
    <row r="21" customFormat="false" ht="30" hidden="false" customHeight="true" outlineLevel="0" collapsed="false">
      <c r="B21" s="8" t="s">
        <v>55</v>
      </c>
      <c r="C21" s="8"/>
      <c r="D21" s="8"/>
      <c r="E21" s="8"/>
      <c r="F21" s="8"/>
    </row>
    <row r="22" customFormat="false" ht="30" hidden="false" customHeight="true" outlineLevel="0" collapsed="false">
      <c r="B22" s="8" t="s">
        <v>56</v>
      </c>
      <c r="C22" s="8"/>
      <c r="D22" s="8"/>
      <c r="E22" s="8"/>
      <c r="F22" s="8"/>
    </row>
    <row r="23" customFormat="false" ht="30" hidden="false" customHeight="true" outlineLevel="0" collapsed="false">
      <c r="B23" s="8" t="s">
        <v>57</v>
      </c>
      <c r="C23" s="8"/>
      <c r="D23" s="8"/>
      <c r="E23" s="8"/>
      <c r="F23" s="8"/>
    </row>
    <row r="24" customFormat="false" ht="30" hidden="false" customHeight="true" outlineLevel="0" collapsed="false">
      <c r="B24" s="8" t="s">
        <v>58</v>
      </c>
      <c r="C24" s="8"/>
      <c r="D24" s="8"/>
      <c r="E24" s="8"/>
      <c r="F24" s="8"/>
    </row>
  </sheetData>
  <mergeCells count="4">
    <mergeCell ref="B21:F21"/>
    <mergeCell ref="B22:F22"/>
    <mergeCell ref="B23:F23"/>
    <mergeCell ref="B24:F24"/>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&amp;L&amp;"Arial,Bold"&amp;8Apple Inc. — DCF Valuation&amp;R&amp;"Arial,Regular"&amp;8Summary</oddHeader>
    <oddFooter>&amp;L&amp;"Arial,Regular"&amp;8Jainam Mehta · github.com/jainammehta1215/ib-portfolio&amp;C&amp;"Arial,Regular"&amp;8Blue = input · Black = formula · Green = link&amp;R&amp;"Arial,Regular"&amp;8Page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50"/>
    <col collapsed="false" customWidth="true" hidden="false" outlineLevel="0" max="5" min="3" style="0" width="12"/>
    <col collapsed="false" customWidth="true" hidden="false" outlineLevel="0" max="6" min="6" style="0" width="70"/>
  </cols>
  <sheetData>
    <row r="1" customFormat="false" ht="30" hidden="false" customHeight="true" outlineLevel="0" collapsed="false">
      <c r="A1" s="1"/>
      <c r="B1" s="21" t="s">
        <v>37</v>
      </c>
      <c r="C1" s="1"/>
      <c r="D1" s="1"/>
      <c r="E1" s="1"/>
      <c r="F1" s="22" t="s">
        <v>38</v>
      </c>
    </row>
    <row r="2" customFormat="false" ht="18" hidden="false" customHeight="true" outlineLevel="0" collapsed="false">
      <c r="A2" s="1"/>
      <c r="B2" s="23" t="s">
        <v>59</v>
      </c>
      <c r="C2" s="1"/>
      <c r="D2" s="1"/>
      <c r="E2" s="1"/>
      <c r="F2" s="1"/>
    </row>
    <row r="4" customFormat="false" ht="15.75" hidden="false" customHeight="true" outlineLevel="0" collapsed="false">
      <c r="B4" s="25" t="s">
        <v>60</v>
      </c>
      <c r="C4" s="1"/>
      <c r="D4" s="1"/>
      <c r="E4" s="1"/>
      <c r="F4" s="1"/>
    </row>
    <row r="5" customFormat="false" ht="15" hidden="false" customHeight="false" outlineLevel="0" collapsed="false">
      <c r="B5" s="0" t="s">
        <v>61</v>
      </c>
      <c r="C5" s="32" t="n">
        <v>1</v>
      </c>
      <c r="D5" s="30" t="str">
        <f aca="false">CHOOSE($C$5,"Base","Upside","Downside")</f>
        <v>Base</v>
      </c>
    </row>
    <row r="6" customFormat="false" ht="15" hidden="false" customHeight="false" outlineLevel="0" collapsed="false">
      <c r="B6" s="20" t="s">
        <v>62</v>
      </c>
      <c r="C6" s="15" t="s">
        <v>63</v>
      </c>
      <c r="F6" s="33" t="s">
        <v>64</v>
      </c>
    </row>
    <row r="7" customFormat="false" ht="15" hidden="false" customHeight="false" outlineLevel="0" collapsed="false">
      <c r="B7" s="20" t="s">
        <v>65</v>
      </c>
      <c r="C7" s="34" t="n">
        <v>332.27</v>
      </c>
      <c r="F7" s="33" t="s">
        <v>66</v>
      </c>
    </row>
    <row r="8" customFormat="false" ht="15" hidden="false" customHeight="false" outlineLevel="0" collapsed="false">
      <c r="B8" s="20" t="s">
        <v>67</v>
      </c>
      <c r="C8" s="35" t="n">
        <v>14.715</v>
      </c>
      <c r="F8" s="33" t="s">
        <v>68</v>
      </c>
    </row>
    <row r="9" customFormat="false" ht="15" hidden="false" customHeight="false" outlineLevel="0" collapsed="false">
      <c r="B9" s="20" t="s">
        <v>69</v>
      </c>
      <c r="C9" s="36" t="n">
        <v>0.0495</v>
      </c>
      <c r="F9" s="33" t="s">
        <v>70</v>
      </c>
    </row>
    <row r="10" customFormat="false" ht="15" hidden="false" customHeight="false" outlineLevel="0" collapsed="false">
      <c r="B10" s="20" t="s">
        <v>71</v>
      </c>
      <c r="C10" s="36" t="n">
        <v>0.045</v>
      </c>
      <c r="F10" s="33" t="s">
        <v>72</v>
      </c>
    </row>
    <row r="11" customFormat="false" ht="22.35" hidden="false" customHeight="false" outlineLevel="0" collapsed="false">
      <c r="B11" s="20" t="s">
        <v>73</v>
      </c>
      <c r="C11" s="36" t="n">
        <v>0.0553</v>
      </c>
      <c r="F11" s="33" t="s">
        <v>74</v>
      </c>
    </row>
    <row r="12" customFormat="false" ht="15" hidden="false" customHeight="false" outlineLevel="0" collapsed="false">
      <c r="B12" s="20" t="s">
        <v>75</v>
      </c>
      <c r="C12" s="36" t="n">
        <v>0.21</v>
      </c>
      <c r="F12" s="33" t="s">
        <v>76</v>
      </c>
    </row>
    <row r="13" customFormat="false" ht="15" hidden="false" customHeight="false" outlineLevel="0" collapsed="false">
      <c r="B13" s="20" t="s">
        <v>77</v>
      </c>
      <c r="C13" s="36" t="n">
        <v>0.03</v>
      </c>
      <c r="F13" s="33" t="s">
        <v>78</v>
      </c>
    </row>
    <row r="14" customFormat="false" ht="15" hidden="false" customHeight="false" outlineLevel="0" collapsed="false">
      <c r="B14" s="20" t="s">
        <v>79</v>
      </c>
      <c r="C14" s="37" t="n">
        <v>128.9</v>
      </c>
      <c r="F14" s="33" t="s">
        <v>80</v>
      </c>
    </row>
    <row r="15" customFormat="false" ht="22.35" hidden="false" customHeight="false" outlineLevel="0" collapsed="false">
      <c r="B15" s="20" t="s">
        <v>81</v>
      </c>
      <c r="C15" s="38" t="n">
        <v>22</v>
      </c>
      <c r="F15" s="33" t="s">
        <v>82</v>
      </c>
    </row>
    <row r="16" customFormat="false" ht="15" hidden="false" customHeight="false" outlineLevel="0" collapsed="false">
      <c r="B16" s="20" t="s">
        <v>83</v>
      </c>
      <c r="C16" s="15" t="n">
        <v>1</v>
      </c>
      <c r="F16" s="33" t="s">
        <v>84</v>
      </c>
    </row>
    <row r="17" customFormat="false" ht="22.35" hidden="false" customHeight="false" outlineLevel="0" collapsed="false">
      <c r="B17" s="20" t="s">
        <v>85</v>
      </c>
      <c r="C17" s="15" t="n">
        <v>1</v>
      </c>
      <c r="F17" s="33" t="s">
        <v>86</v>
      </c>
    </row>
    <row r="18" customFormat="false" ht="22.35" hidden="false" customHeight="false" outlineLevel="0" collapsed="false">
      <c r="B18" s="20" t="s">
        <v>87</v>
      </c>
      <c r="C18" s="39" t="n">
        <v>0.5</v>
      </c>
      <c r="F18" s="33" t="s">
        <v>88</v>
      </c>
    </row>
    <row r="20" customFormat="false" ht="30" hidden="false" customHeight="true" outlineLevel="0" collapsed="false">
      <c r="B20" s="19" t="s">
        <v>89</v>
      </c>
      <c r="C20" s="19"/>
      <c r="D20" s="19"/>
      <c r="E20" s="19"/>
      <c r="F20" s="19"/>
    </row>
  </sheetData>
  <mergeCells count="1">
    <mergeCell ref="B20:F20"/>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&amp;L&amp;"Arial,Bold"&amp;8Apple Inc. — DCF Valuation&amp;R&amp;"Arial,Regular"&amp;8Inputs</oddHeader>
    <oddFooter>&amp;L&amp;"Arial,Regular"&amp;8Jainam Mehta · github.com/jainammehta1215/ib-portfolio&amp;C&amp;"Arial,Regular"&amp;8Blue = input · Black = formula · Green = link&amp;R&amp;"Arial,Regular"&amp;8Page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52"/>
    <col collapsed="false" customWidth="true" hidden="false" outlineLevel="0" max="9" min="3" style="0" width="12"/>
  </cols>
  <sheetData>
    <row r="1" customFormat="false" ht="30" hidden="false" customHeight="true" outlineLevel="0" collapsed="false">
      <c r="A1" s="1"/>
      <c r="B1" s="21" t="s">
        <v>37</v>
      </c>
      <c r="C1" s="1"/>
      <c r="D1" s="1"/>
      <c r="E1" s="1"/>
      <c r="F1" s="1"/>
      <c r="G1" s="1"/>
      <c r="H1" s="1"/>
      <c r="I1" s="22" t="s">
        <v>38</v>
      </c>
    </row>
    <row r="2" customFormat="false" ht="18" hidden="false" customHeight="true" outlineLevel="0" collapsed="false">
      <c r="A2" s="1"/>
      <c r="B2" s="23" t="s">
        <v>90</v>
      </c>
      <c r="C2" s="1"/>
      <c r="D2" s="1"/>
      <c r="E2" s="1"/>
      <c r="F2" s="1"/>
      <c r="G2" s="1"/>
      <c r="H2" s="1"/>
      <c r="I2" s="1"/>
    </row>
    <row r="4" customFormat="false" ht="15.75" hidden="false" customHeight="true" outlineLevel="0" collapsed="false">
      <c r="B4" s="25" t="s">
        <v>91</v>
      </c>
      <c r="C4" s="1"/>
      <c r="D4" s="1"/>
      <c r="E4" s="1"/>
      <c r="F4" s="1"/>
      <c r="G4" s="1"/>
      <c r="H4" s="1"/>
      <c r="I4" s="1"/>
    </row>
    <row r="5" customFormat="false" ht="30" hidden="false" customHeight="true" outlineLevel="0" collapsed="false">
      <c r="B5" s="40" t="s">
        <v>92</v>
      </c>
      <c r="C5" s="40" t="s">
        <v>93</v>
      </c>
      <c r="D5" s="40" t="s">
        <v>94</v>
      </c>
      <c r="E5" s="40" t="s">
        <v>95</v>
      </c>
      <c r="F5" s="40" t="s">
        <v>96</v>
      </c>
      <c r="G5" s="40" t="s">
        <v>97</v>
      </c>
      <c r="H5" s="40" t="s">
        <v>98</v>
      </c>
      <c r="I5" s="40" t="s">
        <v>99</v>
      </c>
    </row>
    <row r="6" customFormat="false" ht="15" hidden="false" customHeight="false" outlineLevel="0" collapsed="false">
      <c r="B6" s="20" t="s">
        <v>100</v>
      </c>
      <c r="C6" s="37" t="n">
        <v>4870.371</v>
      </c>
      <c r="D6" s="37" t="n">
        <v>98.657</v>
      </c>
      <c r="E6" s="37" t="n">
        <v>54.697</v>
      </c>
      <c r="F6" s="41" t="n">
        <v>1.153</v>
      </c>
      <c r="G6" s="42" t="n">
        <f aca="false">MAX(0,(D6-E6)/C6)</f>
        <v>0.00902600643770259</v>
      </c>
      <c r="H6" s="42" t="n">
        <f aca="false">F6/(1+(1-Inputs!$C$12)*G6)</f>
        <v>1.1448366903635</v>
      </c>
      <c r="I6" s="5"/>
    </row>
    <row r="7" customFormat="false" ht="15" hidden="false" customHeight="false" outlineLevel="0" collapsed="false">
      <c r="B7" s="20" t="s">
        <v>101</v>
      </c>
      <c r="C7" s="37" t="n">
        <v>3692.872</v>
      </c>
      <c r="D7" s="37" t="n">
        <v>56.826</v>
      </c>
      <c r="E7" s="37" t="n">
        <v>76.651</v>
      </c>
      <c r="F7" s="41" t="n">
        <v>1.15</v>
      </c>
      <c r="G7" s="42" t="n">
        <f aca="false">MAX(0,(D7-E7)/C7)</f>
        <v>0</v>
      </c>
      <c r="H7" s="42" t="n">
        <f aca="false">F7/(1+(1-Inputs!$C$12)*G7)</f>
        <v>1.15</v>
      </c>
      <c r="I7" s="5"/>
    </row>
    <row r="8" customFormat="false" ht="15" hidden="false" customHeight="false" outlineLevel="0" collapsed="false">
      <c r="B8" s="20" t="s">
        <v>102</v>
      </c>
      <c r="C8" s="37" t="n">
        <v>4195.235</v>
      </c>
      <c r="D8" s="37" t="n">
        <v>59.291</v>
      </c>
      <c r="E8" s="37" t="n">
        <v>126.843</v>
      </c>
      <c r="F8" s="41" t="n">
        <v>1.22</v>
      </c>
      <c r="G8" s="42" t="n">
        <f aca="false">MAX(0,(D8-E8)/C8)</f>
        <v>0</v>
      </c>
      <c r="H8" s="42" t="n">
        <f aca="false">F8/(1+(1-Inputs!$C$12)*G8)</f>
        <v>1.22</v>
      </c>
      <c r="I8" s="5"/>
    </row>
    <row r="9" customFormat="false" ht="15" hidden="false" customHeight="false" outlineLevel="0" collapsed="false">
      <c r="B9" s="20" t="s">
        <v>103</v>
      </c>
      <c r="C9" s="37" t="n">
        <v>2750.079</v>
      </c>
      <c r="D9" s="37" t="n">
        <v>152.987</v>
      </c>
      <c r="E9" s="37" t="n">
        <v>123.029</v>
      </c>
      <c r="F9" s="41" t="n">
        <v>1.461</v>
      </c>
      <c r="G9" s="42" t="n">
        <f aca="false">MAX(0,(D9-E9)/C9)</f>
        <v>0.0108935052411222</v>
      </c>
      <c r="H9" s="42" t="n">
        <f aca="false">F9/(1+(1-Inputs!$C$12)*G9)</f>
        <v>1.44853410504644</v>
      </c>
      <c r="I9" s="5"/>
    </row>
    <row r="10" customFormat="false" ht="15" hidden="false" customHeight="false" outlineLevel="0" collapsed="false">
      <c r="B10" s="20" t="s">
        <v>104</v>
      </c>
      <c r="C10" s="37" t="n">
        <v>1684.487</v>
      </c>
      <c r="D10" s="37" t="n">
        <v>83.897</v>
      </c>
      <c r="E10" s="37" t="n">
        <v>81.592</v>
      </c>
      <c r="F10" s="41" t="n">
        <v>1.379</v>
      </c>
      <c r="G10" s="42" t="n">
        <f aca="false">MAX(0,(D10-E10)/C10)</f>
        <v>0.00136836912365605</v>
      </c>
      <c r="H10" s="42" t="n">
        <f aca="false">F10/(1+(1-Inputs!$C$12)*G10)</f>
        <v>1.37751089473308</v>
      </c>
      <c r="I10" s="5"/>
    </row>
    <row r="11" customFormat="false" ht="15" hidden="false" customHeight="false" outlineLevel="0" collapsed="false">
      <c r="B11" s="20" t="s">
        <v>105</v>
      </c>
      <c r="C11" s="37" t="n">
        <v>5061.709</v>
      </c>
      <c r="D11" s="37" t="n">
        <v>11.04</v>
      </c>
      <c r="E11" s="37" t="n">
        <v>62.556</v>
      </c>
      <c r="F11" s="41" t="n">
        <v>2.071</v>
      </c>
      <c r="G11" s="42" t="n">
        <f aca="false">MAX(0,(D11-E11)/C11)</f>
        <v>0</v>
      </c>
      <c r="H11" s="42" t="n">
        <f aca="false">F11/(1+(1-Inputs!$C$12)*G11)</f>
        <v>2.071</v>
      </c>
      <c r="I11" s="5"/>
    </row>
    <row r="12" customFormat="false" ht="15" hidden="false" customHeight="false" outlineLevel="0" collapsed="false">
      <c r="B12" s="20" t="s">
        <v>106</v>
      </c>
      <c r="C12" s="37" t="n">
        <v>142.725</v>
      </c>
      <c r="D12" s="37" t="n">
        <v>11.358</v>
      </c>
      <c r="E12" s="37" t="n">
        <v>15.218</v>
      </c>
      <c r="F12" s="41" t="n">
        <v>0.995</v>
      </c>
      <c r="G12" s="42" t="n">
        <f aca="false">MAX(0,(D12-E12)/C12)</f>
        <v>0</v>
      </c>
      <c r="H12" s="42" t="n">
        <f aca="false">F12/(1+(1-Inputs!$C$12)*G12)</f>
        <v>0.995</v>
      </c>
      <c r="I12" s="5" t="s">
        <v>107</v>
      </c>
    </row>
    <row r="13" customFormat="false" ht="15" hidden="false" customHeight="false" outlineLevel="0" collapsed="false">
      <c r="B13" s="20" t="s">
        <v>108</v>
      </c>
      <c r="C13" s="37" t="n">
        <v>1184.836</v>
      </c>
      <c r="D13" s="37" t="n">
        <v>18.289</v>
      </c>
      <c r="E13" s="37" t="n">
        <v>91.194</v>
      </c>
      <c r="F13" s="41" t="n">
        <v>0.517</v>
      </c>
      <c r="G13" s="42" t="n">
        <f aca="false">MAX(0,(D13-E13)/C13)</f>
        <v>0</v>
      </c>
      <c r="H13" s="42" t="n">
        <f aca="false">F13/(1+(1-Inputs!$C$12)*G13)</f>
        <v>0.517</v>
      </c>
      <c r="I13" s="5" t="s">
        <v>109</v>
      </c>
    </row>
    <row r="14" customFormat="false" ht="15" hidden="false" customHeight="false" outlineLevel="0" collapsed="false">
      <c r="B14" s="20" t="s">
        <v>110</v>
      </c>
      <c r="C14" s="37" t="n">
        <v>336.924</v>
      </c>
      <c r="D14" s="37" t="n">
        <v>31.503</v>
      </c>
      <c r="E14" s="37" t="n">
        <v>11.528</v>
      </c>
      <c r="F14" s="41" t="n">
        <v>1.626</v>
      </c>
      <c r="G14" s="42" t="n">
        <f aca="false">MAX(0,(D14-E14)/C14)</f>
        <v>0.0592863672519619</v>
      </c>
      <c r="H14" s="42" t="n">
        <f aca="false">F14/(1+(1-Inputs!$C$12)*G14)</f>
        <v>1.55325155282365</v>
      </c>
      <c r="I14" s="5"/>
    </row>
    <row r="15" customFormat="false" ht="15" hidden="false" customHeight="false" outlineLevel="0" collapsed="false">
      <c r="B15" s="20" t="s">
        <v>111</v>
      </c>
      <c r="C15" s="37" t="n">
        <v>31.68</v>
      </c>
      <c r="D15" s="37" t="n">
        <v>10.882</v>
      </c>
      <c r="E15" s="37" t="n">
        <v>3.69</v>
      </c>
      <c r="F15" s="41" t="n">
        <v>1.066</v>
      </c>
      <c r="G15" s="42" t="n">
        <f aca="false">MAX(0,(D15-E15)/C15)</f>
        <v>0.227020202020202</v>
      </c>
      <c r="H15" s="42" t="n">
        <f aca="false">F15/(1+(1-Inputs!$C$12)*G15)</f>
        <v>0.90389083146154</v>
      </c>
      <c r="I15" s="5"/>
    </row>
    <row r="16" customFormat="false" ht="15" hidden="false" customHeight="false" outlineLevel="0" collapsed="false">
      <c r="B16" s="30" t="s">
        <v>112</v>
      </c>
      <c r="F16" s="43" t="n">
        <f aca="false">MEDIAN(F6:F15)</f>
        <v>1.1865</v>
      </c>
      <c r="G16" s="43" t="n">
        <f aca="false">MEDIAN(G6:G15)</f>
        <v>0.000684184561828024</v>
      </c>
      <c r="H16" s="43" t="n">
        <f aca="false">MEDIAN(H6:H15)</f>
        <v>1.185</v>
      </c>
    </row>
    <row r="17" customFormat="false" ht="15" hidden="false" customHeight="false" outlineLevel="0" collapsed="false">
      <c r="B17" s="30" t="s">
        <v>113</v>
      </c>
      <c r="F17" s="43" t="n">
        <f aca="false">AVERAGE(F6:F15)</f>
        <v>1.2638</v>
      </c>
      <c r="G17" s="43" t="n">
        <f aca="false">AVERAGE(G6:G15)</f>
        <v>0.0307594450074645</v>
      </c>
      <c r="H17" s="43" t="n">
        <f aca="false">AVERAGE(H6:H15)</f>
        <v>1.23810240744282</v>
      </c>
    </row>
    <row r="18" customFormat="false" ht="42" hidden="false" customHeight="true" outlineLevel="0" collapsed="false">
      <c r="B18" s="19" t="s">
        <v>114</v>
      </c>
      <c r="C18" s="19"/>
      <c r="D18" s="19"/>
      <c r="E18" s="19"/>
      <c r="F18" s="19"/>
      <c r="G18" s="19"/>
      <c r="H18" s="19"/>
      <c r="I18" s="19"/>
    </row>
    <row r="21" customFormat="false" ht="15.75" hidden="false" customHeight="true" outlineLevel="0" collapsed="false">
      <c r="B21" s="25" t="s">
        <v>115</v>
      </c>
      <c r="C21" s="1"/>
      <c r="D21" s="1"/>
      <c r="E21" s="1"/>
      <c r="F21" s="1"/>
      <c r="G21" s="1"/>
      <c r="H21" s="1"/>
      <c r="I21" s="1"/>
    </row>
    <row r="22" customFormat="false" ht="15" hidden="false" customHeight="false" outlineLevel="0" collapsed="false">
      <c r="B22" s="20" t="s">
        <v>116</v>
      </c>
      <c r="C22" s="42" t="n">
        <f aca="false">H16</f>
        <v>1.185</v>
      </c>
    </row>
    <row r="23" customFormat="false" ht="15" hidden="false" customHeight="false" outlineLevel="0" collapsed="false">
      <c r="B23" s="20" t="s">
        <v>117</v>
      </c>
      <c r="C23" s="42" t="n">
        <f aca="false">MAX(0,(Operating!$C$4-Operating!$C$5)/(Inputs!$C$7*Inputs!$C$8))</f>
        <v>0</v>
      </c>
    </row>
    <row r="24" customFormat="false" ht="15" hidden="false" customHeight="false" outlineLevel="0" collapsed="false">
      <c r="B24" s="20" t="s">
        <v>118</v>
      </c>
      <c r="C24" s="42" t="n">
        <f aca="false">IF(Inputs!$C$17=1,0.67*C22*(1+(1-Inputs!$C$12)*C23)+0.33,C22*(1+(1-Inputs!$C$12)*C23))</f>
        <v>1.12395</v>
      </c>
    </row>
    <row r="25" customFormat="false" ht="15" hidden="false" customHeight="false" outlineLevel="0" collapsed="false">
      <c r="B25" s="20" t="s">
        <v>119</v>
      </c>
      <c r="C25" s="44" t="n">
        <f aca="false">Inputs!$C$9</f>
        <v>0.0495</v>
      </c>
    </row>
    <row r="26" customFormat="false" ht="15" hidden="false" customHeight="false" outlineLevel="0" collapsed="false">
      <c r="B26" s="20" t="s">
        <v>71</v>
      </c>
      <c r="C26" s="44" t="n">
        <f aca="false">Inputs!$C$10</f>
        <v>0.045</v>
      </c>
    </row>
    <row r="27" customFormat="false" ht="15" hidden="false" customHeight="false" outlineLevel="0" collapsed="false">
      <c r="B27" s="30" t="s">
        <v>120</v>
      </c>
      <c r="C27" s="45" t="n">
        <f aca="false">C25+C24*C26</f>
        <v>0.10007775</v>
      </c>
    </row>
    <row r="29" customFormat="false" ht="15.75" hidden="false" customHeight="true" outlineLevel="0" collapsed="false">
      <c r="B29" s="25" t="s">
        <v>121</v>
      </c>
      <c r="C29" s="1"/>
      <c r="D29" s="1"/>
      <c r="E29" s="1"/>
      <c r="F29" s="1"/>
      <c r="G29" s="1"/>
      <c r="H29" s="1"/>
      <c r="I29" s="1"/>
    </row>
    <row r="30" customFormat="false" ht="15" hidden="false" customHeight="false" outlineLevel="0" collapsed="false">
      <c r="B30" s="20" t="s">
        <v>73</v>
      </c>
      <c r="C30" s="44" t="n">
        <f aca="false">Inputs!$C$11</f>
        <v>0.0553</v>
      </c>
    </row>
    <row r="31" customFormat="false" ht="15" hidden="false" customHeight="false" outlineLevel="0" collapsed="false">
      <c r="B31" s="20" t="s">
        <v>122</v>
      </c>
      <c r="C31" s="44" t="n">
        <f aca="false">Inputs!$C$12</f>
        <v>0.21</v>
      </c>
    </row>
    <row r="32" customFormat="false" ht="15" hidden="false" customHeight="false" outlineLevel="0" collapsed="false">
      <c r="B32" s="20" t="s">
        <v>123</v>
      </c>
      <c r="C32" s="44" t="n">
        <f aca="false">C30*(1-C31)</f>
        <v>0.043687</v>
      </c>
    </row>
    <row r="33" customFormat="false" ht="15" hidden="false" customHeight="false" outlineLevel="0" collapsed="false">
      <c r="B33" s="20" t="s">
        <v>124</v>
      </c>
      <c r="C33" s="46" t="n">
        <f aca="false">Inputs!$C$7*Inputs!$C$8</f>
        <v>4889.35305</v>
      </c>
    </row>
    <row r="34" customFormat="false" ht="15" hidden="false" customHeight="false" outlineLevel="0" collapsed="false">
      <c r="B34" s="20" t="s">
        <v>125</v>
      </c>
      <c r="C34" s="46" t="n">
        <f aca="false">Operating!$C$4</f>
        <v>84.34</v>
      </c>
    </row>
    <row r="35" customFormat="false" ht="15" hidden="false" customHeight="false" outlineLevel="0" collapsed="false">
      <c r="B35" s="20" t="s">
        <v>126</v>
      </c>
      <c r="C35" s="44" t="n">
        <f aca="false">C33/(C33+C34)</f>
        <v>0.983042781459946</v>
      </c>
    </row>
    <row r="36" customFormat="false" ht="15" hidden="false" customHeight="false" outlineLevel="0" collapsed="false">
      <c r="B36" s="20" t="s">
        <v>127</v>
      </c>
      <c r="C36" s="44" t="n">
        <f aca="false">C34/(C33+C34)</f>
        <v>0.0169572185400545</v>
      </c>
    </row>
    <row r="37" customFormat="false" ht="15" hidden="false" customHeight="false" outlineLevel="0" collapsed="false">
      <c r="B37" s="30" t="s">
        <v>23</v>
      </c>
      <c r="C37" s="47" t="n">
        <f aca="false">C35*C27+C36*C32</f>
        <v>0.0991215197286124</v>
      </c>
    </row>
    <row r="39" customFormat="false" ht="30" hidden="false" customHeight="true" outlineLevel="0" collapsed="false">
      <c r="B39" s="19" t="s">
        <v>128</v>
      </c>
      <c r="C39" s="19"/>
      <c r="D39" s="19"/>
      <c r="E39" s="19"/>
      <c r="F39" s="19"/>
      <c r="G39" s="19"/>
      <c r="H39" s="19"/>
      <c r="I39" s="19"/>
    </row>
  </sheetData>
  <mergeCells count="2">
    <mergeCell ref="B18:I18"/>
    <mergeCell ref="B39:I39"/>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&amp;L&amp;"Arial,Bold"&amp;8Apple Inc. — DCF Valuation&amp;R&amp;"Arial,Regular"&amp;8WACC</oddHeader>
    <oddFooter>&amp;L&amp;"Arial,Regular"&amp;8Jainam Mehta · github.com/jainammehta1215/ib-portfolio&amp;C&amp;"Arial,Regular"&amp;8Blue = input · Black = formula · Green = link&amp;R&amp;"Arial,Regular"&amp;8Page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4"/>
    <col collapsed="false" customWidth="true" hidden="false" outlineLevel="0" max="8" min="3" style="0" width="12"/>
  </cols>
  <sheetData>
    <row r="1" customFormat="false" ht="30" hidden="false" customHeight="true" outlineLevel="0" collapsed="false">
      <c r="A1" s="1"/>
      <c r="B1" s="21" t="s">
        <v>37</v>
      </c>
      <c r="C1" s="1"/>
      <c r="D1" s="1"/>
      <c r="E1" s="1"/>
      <c r="F1" s="1"/>
      <c r="G1" s="1"/>
      <c r="H1" s="22" t="s">
        <v>38</v>
      </c>
    </row>
    <row r="2" customFormat="false" ht="18" hidden="false" customHeight="true" outlineLevel="0" collapsed="false">
      <c r="A2" s="1"/>
      <c r="B2" s="23" t="s">
        <v>129</v>
      </c>
      <c r="C2" s="1"/>
      <c r="D2" s="1"/>
      <c r="E2" s="1"/>
      <c r="F2" s="1"/>
      <c r="G2" s="1"/>
      <c r="H2" s="1"/>
    </row>
    <row r="3" customFormat="false" ht="15.75" hidden="false" customHeight="true" outlineLevel="0" collapsed="false">
      <c r="B3" s="25" t="s">
        <v>130</v>
      </c>
      <c r="C3" s="1"/>
      <c r="D3" s="1"/>
      <c r="E3" s="1"/>
      <c r="F3" s="1"/>
      <c r="G3" s="1"/>
      <c r="H3" s="1"/>
    </row>
    <row r="4" customFormat="false" ht="15" hidden="false" customHeight="false" outlineLevel="0" collapsed="false">
      <c r="B4" s="0" t="s">
        <v>131</v>
      </c>
      <c r="C4" s="37" t="n">
        <v>84.34</v>
      </c>
      <c r="D4" s="5" t="s">
        <v>132</v>
      </c>
    </row>
    <row r="5" customFormat="false" ht="15" hidden="false" customHeight="false" outlineLevel="0" collapsed="false">
      <c r="B5" s="0" t="s">
        <v>133</v>
      </c>
      <c r="C5" s="37" t="n">
        <v>146.52</v>
      </c>
      <c r="D5" s="5" t="s">
        <v>134</v>
      </c>
    </row>
    <row r="7" customFormat="false" ht="18" hidden="false" customHeight="true" outlineLevel="0" collapsed="false">
      <c r="B7" s="30"/>
      <c r="C7" s="48" t="s">
        <v>135</v>
      </c>
      <c r="D7" s="48" t="s">
        <v>136</v>
      </c>
      <c r="E7" s="48" t="s">
        <v>137</v>
      </c>
      <c r="F7" s="48" t="s">
        <v>138</v>
      </c>
      <c r="G7" s="48" t="s">
        <v>139</v>
      </c>
    </row>
    <row r="8" customFormat="false" ht="15" hidden="false" customHeight="false" outlineLevel="0" collapsed="false">
      <c r="B8" s="49" t="s">
        <v>140</v>
      </c>
      <c r="C8" s="11"/>
      <c r="D8" s="11"/>
      <c r="E8" s="11"/>
      <c r="F8" s="11"/>
      <c r="G8" s="11"/>
      <c r="H8" s="11"/>
    </row>
    <row r="9" customFormat="false" ht="15" hidden="false" customHeight="false" outlineLevel="0" collapsed="false">
      <c r="B9" s="20" t="s">
        <v>141</v>
      </c>
      <c r="C9" s="37" t="n">
        <v>441.1307</v>
      </c>
      <c r="D9" s="37" t="n">
        <v>463.1872</v>
      </c>
      <c r="E9" s="37" t="n">
        <v>486.3466</v>
      </c>
      <c r="F9" s="37" t="n">
        <v>505.8004</v>
      </c>
      <c r="G9" s="37" t="n">
        <v>526.0324</v>
      </c>
    </row>
    <row r="10" customFormat="false" ht="15" hidden="false" customHeight="false" outlineLevel="0" collapsed="false">
      <c r="B10" s="20" t="s">
        <v>142</v>
      </c>
      <c r="C10" s="37" t="n">
        <v>141.6029</v>
      </c>
      <c r="D10" s="37" t="n">
        <v>149.6095</v>
      </c>
      <c r="E10" s="37" t="n">
        <v>158.0626</v>
      </c>
      <c r="F10" s="37" t="n">
        <v>164.8909</v>
      </c>
      <c r="G10" s="37" t="n">
        <v>171.4866</v>
      </c>
    </row>
    <row r="11" customFormat="false" ht="15" hidden="false" customHeight="false" outlineLevel="0" collapsed="false">
      <c r="B11" s="20" t="s">
        <v>143</v>
      </c>
      <c r="C11" s="36" t="n">
        <v>0.165</v>
      </c>
      <c r="D11" s="36" t="n">
        <v>0.165</v>
      </c>
      <c r="E11" s="36" t="n">
        <v>0.165</v>
      </c>
      <c r="F11" s="36" t="n">
        <v>0.165</v>
      </c>
      <c r="G11" s="36" t="n">
        <v>0.165</v>
      </c>
    </row>
    <row r="12" customFormat="false" ht="15" hidden="false" customHeight="false" outlineLevel="0" collapsed="false">
      <c r="B12" s="20" t="s">
        <v>144</v>
      </c>
      <c r="C12" s="37" t="n">
        <v>12.3517</v>
      </c>
      <c r="D12" s="37" t="n">
        <v>12.9692</v>
      </c>
      <c r="E12" s="37" t="n">
        <v>13.6177</v>
      </c>
      <c r="F12" s="37" t="n">
        <v>14.1624</v>
      </c>
      <c r="G12" s="37" t="n">
        <v>14.7289</v>
      </c>
    </row>
    <row r="13" customFormat="false" ht="15" hidden="false" customHeight="false" outlineLevel="0" collapsed="false">
      <c r="B13" s="20" t="s">
        <v>145</v>
      </c>
      <c r="C13" s="37" t="n">
        <v>13.6751</v>
      </c>
      <c r="D13" s="37" t="n">
        <v>14.3588</v>
      </c>
      <c r="E13" s="37" t="n">
        <v>15.0767</v>
      </c>
      <c r="F13" s="37" t="n">
        <v>15.6798</v>
      </c>
      <c r="G13" s="37" t="n">
        <v>16.307</v>
      </c>
    </row>
    <row r="14" customFormat="false" ht="15" hidden="false" customHeight="false" outlineLevel="0" collapsed="false">
      <c r="B14" s="20" t="s">
        <v>146</v>
      </c>
      <c r="C14" s="37" t="n">
        <v>-0.1047</v>
      </c>
      <c r="D14" s="37" t="n">
        <v>0.2215</v>
      </c>
      <c r="E14" s="37" t="n">
        <v>0.2192</v>
      </c>
      <c r="F14" s="37" t="n">
        <v>0.2625</v>
      </c>
      <c r="G14" s="37" t="n">
        <v>0.4185</v>
      </c>
    </row>
    <row r="15" customFormat="false" ht="15" hidden="false" customHeight="false" outlineLevel="0" collapsed="false">
      <c r="B15" s="20" t="s">
        <v>147</v>
      </c>
      <c r="C15" s="37" t="n">
        <v>13.6751</v>
      </c>
      <c r="D15" s="37" t="n">
        <v>14.3588</v>
      </c>
      <c r="E15" s="37" t="n">
        <v>15.0767</v>
      </c>
      <c r="F15" s="37" t="n">
        <v>15.6798</v>
      </c>
      <c r="G15" s="37" t="n">
        <v>16.307</v>
      </c>
    </row>
    <row r="17" customFormat="false" ht="15" hidden="false" customHeight="false" outlineLevel="0" collapsed="false">
      <c r="B17" s="49" t="s">
        <v>148</v>
      </c>
      <c r="C17" s="11"/>
      <c r="D17" s="11"/>
      <c r="E17" s="11"/>
      <c r="F17" s="11"/>
      <c r="G17" s="11"/>
      <c r="H17" s="11"/>
    </row>
    <row r="18" customFormat="false" ht="15" hidden="false" customHeight="false" outlineLevel="0" collapsed="false">
      <c r="B18" s="20" t="s">
        <v>141</v>
      </c>
      <c r="C18" s="37" t="n">
        <v>453.6155</v>
      </c>
      <c r="D18" s="37" t="n">
        <v>489.9047</v>
      </c>
      <c r="E18" s="37" t="n">
        <v>524.1981</v>
      </c>
      <c r="F18" s="37" t="n">
        <v>555.6499</v>
      </c>
      <c r="G18" s="37" t="n">
        <v>588.9889</v>
      </c>
    </row>
    <row r="19" customFormat="false" ht="15" hidden="false" customHeight="false" outlineLevel="0" collapsed="false">
      <c r="B19" s="20" t="s">
        <v>142</v>
      </c>
      <c r="C19" s="37" t="n">
        <v>151.5076</v>
      </c>
      <c r="D19" s="37" t="n">
        <v>166.0777</v>
      </c>
      <c r="E19" s="37" t="n">
        <v>180.3241</v>
      </c>
      <c r="F19" s="37" t="n">
        <v>192.2549</v>
      </c>
      <c r="G19" s="37" t="n">
        <v>205.5571</v>
      </c>
    </row>
    <row r="20" customFormat="false" ht="15" hidden="false" customHeight="false" outlineLevel="0" collapsed="false">
      <c r="B20" s="20" t="s">
        <v>143</v>
      </c>
      <c r="C20" s="36" t="n">
        <v>0.16</v>
      </c>
      <c r="D20" s="36" t="n">
        <v>0.16</v>
      </c>
      <c r="E20" s="36" t="n">
        <v>0.16</v>
      </c>
      <c r="F20" s="36" t="n">
        <v>0.16</v>
      </c>
      <c r="G20" s="36" t="n">
        <v>0.16</v>
      </c>
    </row>
    <row r="21" customFormat="false" ht="15" hidden="false" customHeight="false" outlineLevel="0" collapsed="false">
      <c r="B21" s="20" t="s">
        <v>144</v>
      </c>
      <c r="C21" s="37" t="n">
        <v>12.7012</v>
      </c>
      <c r="D21" s="37" t="n">
        <v>13.7173</v>
      </c>
      <c r="E21" s="37" t="n">
        <v>14.6775</v>
      </c>
      <c r="F21" s="37" t="n">
        <v>15.5582</v>
      </c>
      <c r="G21" s="37" t="n">
        <v>16.4917</v>
      </c>
    </row>
    <row r="22" customFormat="false" ht="15" hidden="false" customHeight="false" outlineLevel="0" collapsed="false">
      <c r="B22" s="20" t="s">
        <v>145</v>
      </c>
      <c r="C22" s="37" t="n">
        <v>14.9693</v>
      </c>
      <c r="D22" s="37" t="n">
        <v>16.1669</v>
      </c>
      <c r="E22" s="37" t="n">
        <v>17.2985</v>
      </c>
      <c r="F22" s="37" t="n">
        <v>18.3364</v>
      </c>
      <c r="G22" s="37" t="n">
        <v>19.4366</v>
      </c>
    </row>
    <row r="23" customFormat="false" ht="15" hidden="false" customHeight="false" outlineLevel="0" collapsed="false">
      <c r="B23" s="20" t="s">
        <v>146</v>
      </c>
      <c r="C23" s="37" t="n">
        <v>3.2908</v>
      </c>
      <c r="D23" s="37" t="n">
        <v>0.3276</v>
      </c>
      <c r="E23" s="37" t="n">
        <v>0.1682</v>
      </c>
      <c r="F23" s="37" t="n">
        <v>0.4902</v>
      </c>
      <c r="G23" s="37" t="n">
        <v>0.3256</v>
      </c>
    </row>
    <row r="24" customFormat="false" ht="15" hidden="false" customHeight="false" outlineLevel="0" collapsed="false">
      <c r="B24" s="20" t="s">
        <v>147</v>
      </c>
      <c r="C24" s="37" t="n">
        <v>14.0621</v>
      </c>
      <c r="D24" s="37" t="n">
        <v>15.187</v>
      </c>
      <c r="E24" s="37" t="n">
        <v>16.2501</v>
      </c>
      <c r="F24" s="37" t="n">
        <v>17.2251</v>
      </c>
      <c r="G24" s="37" t="n">
        <v>18.2587</v>
      </c>
    </row>
    <row r="26" customFormat="false" ht="15" hidden="false" customHeight="false" outlineLevel="0" collapsed="false">
      <c r="B26" s="49" t="s">
        <v>149</v>
      </c>
      <c r="C26" s="11"/>
      <c r="D26" s="11"/>
      <c r="E26" s="11"/>
      <c r="F26" s="11"/>
      <c r="G26" s="11"/>
      <c r="H26" s="11"/>
    </row>
    <row r="27" customFormat="false" ht="15" hidden="false" customHeight="false" outlineLevel="0" collapsed="false">
      <c r="B27" s="20" t="s">
        <v>141</v>
      </c>
      <c r="C27" s="37" t="n">
        <v>424.4842</v>
      </c>
      <c r="D27" s="37" t="n">
        <v>432.9739</v>
      </c>
      <c r="E27" s="37" t="n">
        <v>441.6334</v>
      </c>
      <c r="F27" s="37" t="n">
        <v>450.4661</v>
      </c>
      <c r="G27" s="37" t="n">
        <v>459.4754</v>
      </c>
    </row>
    <row r="28" customFormat="false" ht="15" hidden="false" customHeight="false" outlineLevel="0" collapsed="false">
      <c r="B28" s="20" t="s">
        <v>142</v>
      </c>
      <c r="C28" s="37" t="n">
        <v>127.7698</v>
      </c>
      <c r="D28" s="37" t="n">
        <v>128.1603</v>
      </c>
      <c r="E28" s="37" t="n">
        <v>130.7235</v>
      </c>
      <c r="F28" s="37" t="n">
        <v>133.338</v>
      </c>
      <c r="G28" s="37" t="n">
        <v>136.0047</v>
      </c>
    </row>
    <row r="29" customFormat="false" ht="15" hidden="false" customHeight="false" outlineLevel="0" collapsed="false">
      <c r="B29" s="20" t="s">
        <v>143</v>
      </c>
      <c r="C29" s="36" t="n">
        <v>0.175</v>
      </c>
      <c r="D29" s="36" t="n">
        <v>0.175</v>
      </c>
      <c r="E29" s="36" t="n">
        <v>0.175</v>
      </c>
      <c r="F29" s="36" t="n">
        <v>0.175</v>
      </c>
      <c r="G29" s="36" t="n">
        <v>0.175</v>
      </c>
    </row>
    <row r="30" customFormat="false" ht="15" hidden="false" customHeight="false" outlineLevel="0" collapsed="false">
      <c r="B30" s="20" t="s">
        <v>144</v>
      </c>
      <c r="C30" s="37" t="n">
        <v>12.31</v>
      </c>
      <c r="D30" s="37" t="n">
        <v>12.5562</v>
      </c>
      <c r="E30" s="37" t="n">
        <v>12.8074</v>
      </c>
      <c r="F30" s="37" t="n">
        <v>13.0635</v>
      </c>
      <c r="G30" s="37" t="n">
        <v>13.3248</v>
      </c>
    </row>
    <row r="31" customFormat="false" ht="15" hidden="false" customHeight="false" outlineLevel="0" collapsed="false">
      <c r="B31" s="20" t="s">
        <v>145</v>
      </c>
      <c r="C31" s="37" t="n">
        <v>11.8856</v>
      </c>
      <c r="D31" s="37" t="n">
        <v>12.1233</v>
      </c>
      <c r="E31" s="37" t="n">
        <v>12.3657</v>
      </c>
      <c r="F31" s="37" t="n">
        <v>12.613</v>
      </c>
      <c r="G31" s="37" t="n">
        <v>12.8653</v>
      </c>
    </row>
    <row r="32" customFormat="false" ht="15" hidden="false" customHeight="false" outlineLevel="0" collapsed="false">
      <c r="B32" s="20" t="s">
        <v>146</v>
      </c>
      <c r="C32" s="37" t="n">
        <v>-6.567</v>
      </c>
      <c r="D32" s="37" t="n">
        <v>0.6472</v>
      </c>
      <c r="E32" s="37" t="n">
        <v>0.0789</v>
      </c>
      <c r="F32" s="37" t="n">
        <v>0.0805</v>
      </c>
      <c r="G32" s="37" t="n">
        <v>0.0821</v>
      </c>
    </row>
    <row r="33" customFormat="false" ht="15" hidden="false" customHeight="false" outlineLevel="0" collapsed="false">
      <c r="B33" s="20" t="s">
        <v>147</v>
      </c>
      <c r="C33" s="37" t="n">
        <v>13.159</v>
      </c>
      <c r="D33" s="37" t="n">
        <v>13.4222</v>
      </c>
      <c r="E33" s="37" t="n">
        <v>13.6906</v>
      </c>
      <c r="F33" s="37" t="n">
        <v>13.9644</v>
      </c>
      <c r="G33" s="37" t="n">
        <v>14.2437</v>
      </c>
    </row>
    <row r="35" customFormat="false" ht="15.75" hidden="false" customHeight="true" outlineLevel="0" collapsed="false">
      <c r="B35" s="25" t="s">
        <v>150</v>
      </c>
      <c r="C35" s="1"/>
      <c r="D35" s="1"/>
      <c r="E35" s="1"/>
      <c r="F35" s="1"/>
      <c r="G35" s="1"/>
      <c r="H35" s="1"/>
    </row>
    <row r="36" customFormat="false" ht="18" hidden="false" customHeight="true" outlineLevel="0" collapsed="false">
      <c r="B36" s="30"/>
      <c r="C36" s="48" t="s">
        <v>135</v>
      </c>
      <c r="D36" s="48" t="s">
        <v>136</v>
      </c>
      <c r="E36" s="48" t="s">
        <v>137</v>
      </c>
      <c r="F36" s="48" t="s">
        <v>138</v>
      </c>
      <c r="G36" s="48" t="s">
        <v>139</v>
      </c>
    </row>
    <row r="37" customFormat="false" ht="15" hidden="false" customHeight="false" outlineLevel="0" collapsed="false">
      <c r="B37" s="30" t="s">
        <v>141</v>
      </c>
      <c r="C37" s="50" t="n">
        <f aca="false">CHOOSE(Inputs!$C$5,C9,C18,C27)</f>
        <v>441.1307</v>
      </c>
      <c r="D37" s="50" t="n">
        <f aca="false">CHOOSE(Inputs!$C$5,D9,D18,D27)</f>
        <v>463.1872</v>
      </c>
      <c r="E37" s="50" t="n">
        <f aca="false">CHOOSE(Inputs!$C$5,E9,E18,E27)</f>
        <v>486.3466</v>
      </c>
      <c r="F37" s="50" t="n">
        <f aca="false">CHOOSE(Inputs!$C$5,F9,F18,F27)</f>
        <v>505.8004</v>
      </c>
      <c r="G37" s="50" t="n">
        <f aca="false">CHOOSE(Inputs!$C$5,G9,G18,G27)</f>
        <v>526.0324</v>
      </c>
    </row>
    <row r="38" customFormat="false" ht="15" hidden="false" customHeight="false" outlineLevel="0" collapsed="false">
      <c r="B38" s="30" t="s">
        <v>142</v>
      </c>
      <c r="C38" s="50" t="n">
        <f aca="false">CHOOSE(Inputs!$C$5,C10,C19,C28)</f>
        <v>141.6029</v>
      </c>
      <c r="D38" s="50" t="n">
        <f aca="false">CHOOSE(Inputs!$C$5,D10,D19,D28)</f>
        <v>149.6095</v>
      </c>
      <c r="E38" s="50" t="n">
        <f aca="false">CHOOSE(Inputs!$C$5,E10,E19,E28)</f>
        <v>158.0626</v>
      </c>
      <c r="F38" s="50" t="n">
        <f aca="false">CHOOSE(Inputs!$C$5,F10,F19,F28)</f>
        <v>164.8909</v>
      </c>
      <c r="G38" s="50" t="n">
        <f aca="false">CHOOSE(Inputs!$C$5,G10,G19,G28)</f>
        <v>171.4866</v>
      </c>
    </row>
    <row r="39" customFormat="false" ht="15" hidden="false" customHeight="false" outlineLevel="0" collapsed="false">
      <c r="B39" s="30" t="s">
        <v>143</v>
      </c>
      <c r="C39" s="51" t="n">
        <f aca="false">CHOOSE(Inputs!$C$5,C11,C20,C29)</f>
        <v>0.165</v>
      </c>
      <c r="D39" s="51" t="n">
        <f aca="false">CHOOSE(Inputs!$C$5,D11,D20,D29)</f>
        <v>0.165</v>
      </c>
      <c r="E39" s="51" t="n">
        <f aca="false">CHOOSE(Inputs!$C$5,E11,E20,E29)</f>
        <v>0.165</v>
      </c>
      <c r="F39" s="51" t="n">
        <f aca="false">CHOOSE(Inputs!$C$5,F11,F20,F29)</f>
        <v>0.165</v>
      </c>
      <c r="G39" s="51" t="n">
        <f aca="false">CHOOSE(Inputs!$C$5,G11,G20,G29)</f>
        <v>0.165</v>
      </c>
    </row>
    <row r="40" customFormat="false" ht="15" hidden="false" customHeight="false" outlineLevel="0" collapsed="false">
      <c r="B40" s="30" t="s">
        <v>144</v>
      </c>
      <c r="C40" s="50" t="n">
        <f aca="false">CHOOSE(Inputs!$C$5,C12,C21,C30)</f>
        <v>12.3517</v>
      </c>
      <c r="D40" s="50" t="n">
        <f aca="false">CHOOSE(Inputs!$C$5,D12,D21,D30)</f>
        <v>12.9692</v>
      </c>
      <c r="E40" s="50" t="n">
        <f aca="false">CHOOSE(Inputs!$C$5,E12,E21,E30)</f>
        <v>13.6177</v>
      </c>
      <c r="F40" s="50" t="n">
        <f aca="false">CHOOSE(Inputs!$C$5,F12,F21,F30)</f>
        <v>14.1624</v>
      </c>
      <c r="G40" s="50" t="n">
        <f aca="false">CHOOSE(Inputs!$C$5,G12,G21,G30)</f>
        <v>14.7289</v>
      </c>
    </row>
    <row r="41" customFormat="false" ht="15" hidden="false" customHeight="false" outlineLevel="0" collapsed="false">
      <c r="B41" s="30" t="s">
        <v>145</v>
      </c>
      <c r="C41" s="50" t="n">
        <f aca="false">CHOOSE(Inputs!$C$5,C13,C22,C31)</f>
        <v>13.6751</v>
      </c>
      <c r="D41" s="50" t="n">
        <f aca="false">CHOOSE(Inputs!$C$5,D13,D22,D31)</f>
        <v>14.3588</v>
      </c>
      <c r="E41" s="50" t="n">
        <f aca="false">CHOOSE(Inputs!$C$5,E13,E22,E31)</f>
        <v>15.0767</v>
      </c>
      <c r="F41" s="50" t="n">
        <f aca="false">CHOOSE(Inputs!$C$5,F13,F22,F31)</f>
        <v>15.6798</v>
      </c>
      <c r="G41" s="50" t="n">
        <f aca="false">CHOOSE(Inputs!$C$5,G13,G22,G31)</f>
        <v>16.307</v>
      </c>
    </row>
    <row r="42" customFormat="false" ht="15" hidden="false" customHeight="false" outlineLevel="0" collapsed="false">
      <c r="B42" s="30" t="s">
        <v>146</v>
      </c>
      <c r="C42" s="50" t="n">
        <f aca="false">CHOOSE(Inputs!$C$5,C14,C23,C32)</f>
        <v>-0.1047</v>
      </c>
      <c r="D42" s="50" t="n">
        <f aca="false">CHOOSE(Inputs!$C$5,D14,D23,D32)</f>
        <v>0.2215</v>
      </c>
      <c r="E42" s="50" t="n">
        <f aca="false">CHOOSE(Inputs!$C$5,E14,E23,E32)</f>
        <v>0.2192</v>
      </c>
      <c r="F42" s="50" t="n">
        <f aca="false">CHOOSE(Inputs!$C$5,F14,F23,F32)</f>
        <v>0.2625</v>
      </c>
      <c r="G42" s="50" t="n">
        <f aca="false">CHOOSE(Inputs!$C$5,G14,G23,G32)</f>
        <v>0.4185</v>
      </c>
    </row>
    <row r="43" customFormat="false" ht="15" hidden="false" customHeight="false" outlineLevel="0" collapsed="false">
      <c r="B43" s="30" t="s">
        <v>147</v>
      </c>
      <c r="C43" s="50" t="n">
        <f aca="false">CHOOSE(Inputs!$C$5,C15,C24,C33)</f>
        <v>13.6751</v>
      </c>
      <c r="D43" s="50" t="n">
        <f aca="false">CHOOSE(Inputs!$C$5,D15,D24,D33)</f>
        <v>14.3588</v>
      </c>
      <c r="E43" s="50" t="n">
        <f aca="false">CHOOSE(Inputs!$C$5,E15,E24,E33)</f>
        <v>15.0767</v>
      </c>
      <c r="F43" s="50" t="n">
        <f aca="false">CHOOSE(Inputs!$C$5,F15,F24,F33)</f>
        <v>15.6798</v>
      </c>
      <c r="G43" s="50" t="n">
        <f aca="false">CHOOSE(Inputs!$C$5,G15,G24,G33)</f>
        <v>16.307</v>
      </c>
    </row>
  </sheetData>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&amp;L&amp;"Arial,Bold"&amp;8Apple Inc. — DCF Valuation&amp;R&amp;"Arial,Regular"&amp;8Operating</oddHeader>
    <oddFooter>&amp;L&amp;"Arial,Regular"&amp;8Jainam Mehta · github.com/jainammehta1215/ib-portfolio&amp;C&amp;"Arial,Regular"&amp;8Blue = input · Black = formula · Green = link&amp;R&amp;"Arial,Regular"&amp;8Page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8"/>
    <col collapsed="false" customWidth="true" hidden="false" outlineLevel="0" max="9" min="3" style="0" width="12"/>
  </cols>
  <sheetData>
    <row r="1" customFormat="false" ht="30" hidden="false" customHeight="true" outlineLevel="0" collapsed="false">
      <c r="A1" s="1"/>
      <c r="B1" s="21" t="s">
        <v>37</v>
      </c>
      <c r="C1" s="1"/>
      <c r="D1" s="1"/>
      <c r="E1" s="1"/>
      <c r="F1" s="1"/>
      <c r="G1" s="1"/>
      <c r="H1" s="1"/>
      <c r="I1" s="22" t="s">
        <v>38</v>
      </c>
    </row>
    <row r="2" customFormat="false" ht="18" hidden="false" customHeight="true" outlineLevel="0" collapsed="false">
      <c r="A2" s="1"/>
      <c r="B2" s="23" t="s">
        <v>151</v>
      </c>
      <c r="C2" s="1"/>
      <c r="D2" s="1"/>
      <c r="E2" s="1"/>
      <c r="F2" s="1"/>
      <c r="G2" s="1"/>
      <c r="H2" s="1"/>
      <c r="I2" s="1"/>
    </row>
    <row r="3" customFormat="false" ht="15" hidden="false" customHeight="false" outlineLevel="0" collapsed="false">
      <c r="B3" s="24" t="str">
        <f aca="false">"Scenario: "&amp;Inputs!$D$5</f>
        <v>Scenario: Base</v>
      </c>
    </row>
    <row r="4" customFormat="false" ht="15.75" hidden="false" customHeight="true" outlineLevel="0" collapsed="false">
      <c r="B4" s="25" t="s">
        <v>152</v>
      </c>
      <c r="C4" s="1"/>
      <c r="D4" s="1"/>
      <c r="E4" s="1"/>
      <c r="F4" s="1"/>
      <c r="G4" s="1"/>
      <c r="H4" s="1"/>
      <c r="I4" s="1"/>
    </row>
    <row r="5" customFormat="false" ht="18" hidden="false" customHeight="true" outlineLevel="0" collapsed="false">
      <c r="B5" s="30"/>
      <c r="C5" s="48" t="s">
        <v>135</v>
      </c>
      <c r="D5" s="48" t="s">
        <v>136</v>
      </c>
      <c r="E5" s="48" t="s">
        <v>137</v>
      </c>
      <c r="F5" s="48" t="s">
        <v>138</v>
      </c>
      <c r="G5" s="48" t="s">
        <v>139</v>
      </c>
    </row>
    <row r="6" customFormat="false" ht="15" hidden="false" customHeight="false" outlineLevel="0" collapsed="false">
      <c r="B6" s="20" t="s">
        <v>141</v>
      </c>
      <c r="C6" s="46" t="n">
        <f aca="false">Operating!C37</f>
        <v>441.1307</v>
      </c>
      <c r="D6" s="46" t="n">
        <f aca="false">Operating!D37</f>
        <v>463.1872</v>
      </c>
      <c r="E6" s="46" t="n">
        <f aca="false">Operating!E37</f>
        <v>486.3466</v>
      </c>
      <c r="F6" s="46" t="n">
        <f aca="false">Operating!F37</f>
        <v>505.8004</v>
      </c>
      <c r="G6" s="46" t="n">
        <f aca="false">Operating!G37</f>
        <v>526.0324</v>
      </c>
    </row>
    <row r="7" customFormat="false" ht="15" hidden="false" customHeight="false" outlineLevel="0" collapsed="false">
      <c r="B7" s="20" t="s">
        <v>142</v>
      </c>
      <c r="C7" s="46" t="n">
        <f aca="false">Operating!C38</f>
        <v>141.6029</v>
      </c>
      <c r="D7" s="46" t="n">
        <f aca="false">Operating!D38</f>
        <v>149.6095</v>
      </c>
      <c r="E7" s="46" t="n">
        <f aca="false">Operating!E38</f>
        <v>158.0626</v>
      </c>
      <c r="F7" s="46" t="n">
        <f aca="false">Operating!F38</f>
        <v>164.8909</v>
      </c>
      <c r="G7" s="46" t="n">
        <f aca="false">Operating!G38</f>
        <v>171.4866</v>
      </c>
    </row>
    <row r="8" customFormat="false" ht="15" hidden="false" customHeight="false" outlineLevel="0" collapsed="false">
      <c r="B8" s="20" t="s">
        <v>153</v>
      </c>
      <c r="C8" s="46" t="n">
        <f aca="false">-C7*Operating!C39</f>
        <v>-23.3644785</v>
      </c>
      <c r="D8" s="46" t="n">
        <f aca="false">-D7*Operating!D39</f>
        <v>-24.6855675</v>
      </c>
      <c r="E8" s="46" t="n">
        <f aca="false">-E7*Operating!E39</f>
        <v>-26.080329</v>
      </c>
      <c r="F8" s="46" t="n">
        <f aca="false">-F7*Operating!F39</f>
        <v>-27.2069985</v>
      </c>
      <c r="G8" s="46" t="n">
        <f aca="false">-G7*Operating!G39</f>
        <v>-28.295289</v>
      </c>
    </row>
    <row r="9" customFormat="false" ht="15" hidden="false" customHeight="false" outlineLevel="0" collapsed="false">
      <c r="B9" s="30" t="s">
        <v>154</v>
      </c>
      <c r="C9" s="52" t="n">
        <f aca="false">C7+C8</f>
        <v>118.2384215</v>
      </c>
      <c r="D9" s="52" t="n">
        <f aca="false">D7+D8</f>
        <v>124.9239325</v>
      </c>
      <c r="E9" s="52" t="n">
        <f aca="false">E7+E8</f>
        <v>131.982271</v>
      </c>
      <c r="F9" s="52" t="n">
        <f aca="false">F7+F8</f>
        <v>137.6839015</v>
      </c>
      <c r="G9" s="52" t="n">
        <f aca="false">G7+G8</f>
        <v>143.191311</v>
      </c>
    </row>
    <row r="10" customFormat="false" ht="15" hidden="false" customHeight="false" outlineLevel="0" collapsed="false">
      <c r="B10" s="20" t="s">
        <v>155</v>
      </c>
      <c r="C10" s="46" t="n">
        <f aca="false">Operating!C40</f>
        <v>12.3517</v>
      </c>
      <c r="D10" s="46" t="n">
        <f aca="false">Operating!D40</f>
        <v>12.9692</v>
      </c>
      <c r="E10" s="46" t="n">
        <f aca="false">Operating!E40</f>
        <v>13.6177</v>
      </c>
      <c r="F10" s="46" t="n">
        <f aca="false">Operating!F40</f>
        <v>14.1624</v>
      </c>
      <c r="G10" s="46" t="n">
        <f aca="false">Operating!G40</f>
        <v>14.7289</v>
      </c>
    </row>
    <row r="11" customFormat="false" ht="15" hidden="false" customHeight="false" outlineLevel="0" collapsed="false">
      <c r="B11" s="20" t="s">
        <v>156</v>
      </c>
      <c r="C11" s="46" t="n">
        <f aca="false">-Operating!C41</f>
        <v>-13.6751</v>
      </c>
      <c r="D11" s="46" t="n">
        <f aca="false">-Operating!D41</f>
        <v>-14.3588</v>
      </c>
      <c r="E11" s="46" t="n">
        <f aca="false">-Operating!E41</f>
        <v>-15.0767</v>
      </c>
      <c r="F11" s="46" t="n">
        <f aca="false">-Operating!F41</f>
        <v>-15.6798</v>
      </c>
      <c r="G11" s="46" t="n">
        <f aca="false">-Operating!G41</f>
        <v>-16.307</v>
      </c>
    </row>
    <row r="12" customFormat="false" ht="15" hidden="false" customHeight="false" outlineLevel="0" collapsed="false">
      <c r="B12" s="20" t="s">
        <v>157</v>
      </c>
      <c r="C12" s="46" t="n">
        <f aca="false">Operating!C42</f>
        <v>-0.1047</v>
      </c>
      <c r="D12" s="46" t="n">
        <f aca="false">Operating!D42</f>
        <v>0.2215</v>
      </c>
      <c r="E12" s="46" t="n">
        <f aca="false">Operating!E42</f>
        <v>0.2192</v>
      </c>
      <c r="F12" s="46" t="n">
        <f aca="false">Operating!F42</f>
        <v>0.2625</v>
      </c>
      <c r="G12" s="46" t="n">
        <f aca="false">Operating!G42</f>
        <v>0.4185</v>
      </c>
    </row>
    <row r="13" customFormat="false" ht="15" hidden="false" customHeight="false" outlineLevel="0" collapsed="false">
      <c r="B13" s="30" t="s">
        <v>158</v>
      </c>
      <c r="C13" s="53" t="n">
        <f aca="false">C9+C10+C11+C12</f>
        <v>116.8103215</v>
      </c>
      <c r="D13" s="53" t="n">
        <f aca="false">D9+D10+D11+D12</f>
        <v>123.7558325</v>
      </c>
      <c r="E13" s="53" t="n">
        <f aca="false">E9+E10+E11+E12</f>
        <v>130.742471</v>
      </c>
      <c r="F13" s="53" t="n">
        <f aca="false">F9+F10+F11+F12</f>
        <v>136.4290015</v>
      </c>
      <c r="G13" s="53" t="n">
        <f aca="false">G9+G10+G11+G12</f>
        <v>142.031711</v>
      </c>
    </row>
    <row r="14" customFormat="false" ht="15" hidden="false" customHeight="false" outlineLevel="0" collapsed="false">
      <c r="B14" s="20" t="s">
        <v>159</v>
      </c>
      <c r="C14" s="44" t="n">
        <f aca="false">C13/C6</f>
        <v>0.264797533928153</v>
      </c>
      <c r="D14" s="44" t="n">
        <f aca="false">D13/D6</f>
        <v>0.267183187488773</v>
      </c>
      <c r="E14" s="44" t="n">
        <f aca="false">E13/E6</f>
        <v>0.268825711951106</v>
      </c>
      <c r="F14" s="44" t="n">
        <f aca="false">F13/F6</f>
        <v>0.269728931610177</v>
      </c>
      <c r="G14" s="44" t="n">
        <f aca="false">G13/G6</f>
        <v>0.270005632732889</v>
      </c>
    </row>
    <row r="16" customFormat="false" ht="15.75" hidden="false" customHeight="true" outlineLevel="0" collapsed="false">
      <c r="B16" s="25" t="s">
        <v>160</v>
      </c>
      <c r="C16" s="1"/>
      <c r="D16" s="1"/>
      <c r="E16" s="1"/>
      <c r="F16" s="1"/>
      <c r="G16" s="1"/>
      <c r="H16" s="1"/>
      <c r="I16" s="1"/>
    </row>
    <row r="17" customFormat="false" ht="15" hidden="false" customHeight="false" outlineLevel="0" collapsed="false">
      <c r="B17" s="20" t="s">
        <v>161</v>
      </c>
      <c r="C17" s="42" t="n">
        <f aca="false">Inputs!$C$18/12</f>
        <v>0.0416666666666667</v>
      </c>
      <c r="D17" s="42" t="n">
        <f aca="false">1</f>
        <v>1</v>
      </c>
      <c r="E17" s="42" t="n">
        <f aca="false">1</f>
        <v>1</v>
      </c>
      <c r="F17" s="42" t="n">
        <f aca="false">1</f>
        <v>1</v>
      </c>
      <c r="G17" s="42" t="n">
        <f aca="false">1</f>
        <v>1</v>
      </c>
    </row>
    <row r="18" customFormat="false" ht="15" hidden="false" customHeight="false" outlineLevel="0" collapsed="false">
      <c r="B18" s="20" t="s">
        <v>162</v>
      </c>
      <c r="C18" s="46" t="n">
        <f aca="false">C13*C17</f>
        <v>4.86709672916667</v>
      </c>
      <c r="D18" s="46" t="n">
        <f aca="false">D13*D17</f>
        <v>123.7558325</v>
      </c>
      <c r="E18" s="46" t="n">
        <f aca="false">E13*E17</f>
        <v>130.742471</v>
      </c>
      <c r="F18" s="46" t="n">
        <f aca="false">F13*F17</f>
        <v>136.4290015</v>
      </c>
      <c r="G18" s="46" t="n">
        <f aca="false">G13*G17</f>
        <v>142.031711</v>
      </c>
    </row>
    <row r="19" customFormat="false" ht="15" hidden="false" customHeight="false" outlineLevel="0" collapsed="false">
      <c r="B19" s="20" t="s">
        <v>163</v>
      </c>
      <c r="C19" s="42" t="n">
        <f aca="false">C17*(1-0.5*Inputs!$C$16)</f>
        <v>0.0208333333333333</v>
      </c>
      <c r="D19" s="42" t="n">
        <f aca="false">C17+D17*(1-0.5*Inputs!$C$16)</f>
        <v>0.541666666666667</v>
      </c>
      <c r="E19" s="42" t="n">
        <f aca="false">(C17+D17)+E17*(1-0.5*Inputs!$C$16)</f>
        <v>1.54166666666667</v>
      </c>
      <c r="F19" s="42" t="n">
        <f aca="false">(C17+D17+E17)+F17*(1-0.5*Inputs!$C$16)</f>
        <v>2.54166666666667</v>
      </c>
      <c r="G19" s="42" t="n">
        <f aca="false">(C17+D17+E17+F17)+G17*(1-0.5*Inputs!$C$16)</f>
        <v>3.54166666666667</v>
      </c>
    </row>
    <row r="20" customFormat="false" ht="15" hidden="false" customHeight="false" outlineLevel="0" collapsed="false">
      <c r="B20" s="20" t="s">
        <v>164</v>
      </c>
      <c r="C20" s="54" t="n">
        <f aca="false">1/(1+WACC!$C$37)^C19</f>
        <v>0.99803295296299</v>
      </c>
      <c r="D20" s="54" t="n">
        <f aca="false">1/(1+WACC!$C$37)^D19</f>
        <v>0.950094724284867</v>
      </c>
      <c r="E20" s="54" t="n">
        <f aca="false">1/(1+WACC!$C$37)^E19</f>
        <v>0.864412812624629</v>
      </c>
      <c r="F20" s="54" t="n">
        <f aca="false">1/(1+WACC!$C$37)^F19</f>
        <v>0.786457909438498</v>
      </c>
      <c r="G20" s="54" t="n">
        <f aca="false">1/(1+WACC!$C$37)^G19</f>
        <v>0.71553317383203</v>
      </c>
    </row>
    <row r="21" customFormat="false" ht="15" hidden="false" customHeight="false" outlineLevel="0" collapsed="false">
      <c r="B21" s="30" t="s">
        <v>165</v>
      </c>
      <c r="C21" s="52" t="n">
        <f aca="false">C18*C20</f>
        <v>4.85752292096672</v>
      </c>
      <c r="D21" s="52" t="n">
        <f aca="false">D18*D20</f>
        <v>117.579763557732</v>
      </c>
      <c r="E21" s="52" t="n">
        <f aca="false">E18*E20</f>
        <v>113.015467086604</v>
      </c>
      <c r="F21" s="52" t="n">
        <f aca="false">F18*F20</f>
        <v>107.295667306472</v>
      </c>
      <c r="G21" s="52" t="n">
        <f aca="false">G18*G20</f>
        <v>101.628400956624</v>
      </c>
    </row>
    <row r="23" customFormat="false" ht="15.75" hidden="false" customHeight="true" outlineLevel="0" collapsed="false">
      <c r="B23" s="25" t="s">
        <v>166</v>
      </c>
      <c r="C23" s="1"/>
      <c r="D23" s="1"/>
      <c r="E23" s="1"/>
      <c r="F23" s="1"/>
      <c r="G23" s="1"/>
      <c r="H23" s="1"/>
      <c r="I23" s="1"/>
    </row>
    <row r="24" customFormat="false" ht="15" hidden="false" customHeight="false" outlineLevel="0" collapsed="false">
      <c r="C24" s="26" t="s">
        <v>41</v>
      </c>
      <c r="E24" s="26" t="s">
        <v>42</v>
      </c>
    </row>
    <row r="25" customFormat="false" ht="15" hidden="false" customHeight="false" outlineLevel="0" collapsed="false">
      <c r="B25" s="20" t="s">
        <v>167</v>
      </c>
      <c r="C25" s="46" t="n">
        <f aca="false">G13*(1+Inputs!$C$13)/(WACC!$C$37-Inputs!$C$13)</f>
        <v>2116.45610374859</v>
      </c>
      <c r="E25" s="46" t="n">
        <f aca="false">(G7+G10)*Inputs!$C$15</f>
        <v>4096.741</v>
      </c>
    </row>
    <row r="26" customFormat="false" ht="15" hidden="false" customHeight="false" outlineLevel="0" collapsed="false">
      <c r="B26" s="20" t="s">
        <v>168</v>
      </c>
      <c r="C26" s="54" t="n">
        <f aca="false">1/(1+WACC!$C$37)^(C17+D17+E17+F17+G17)</f>
        <v>0.682506698260268</v>
      </c>
      <c r="E26" s="54" t="n">
        <f aca="false">C26</f>
        <v>0.682506698260268</v>
      </c>
    </row>
    <row r="27" customFormat="false" ht="15" hidden="false" customHeight="false" outlineLevel="0" collapsed="false">
      <c r="B27" s="20" t="s">
        <v>45</v>
      </c>
      <c r="C27" s="46" t="n">
        <f aca="false">C25*C26</f>
        <v>1444.49546738224</v>
      </c>
      <c r="E27" s="46" t="n">
        <f aca="false">E25*E26</f>
        <v>2796.05317353747</v>
      </c>
    </row>
    <row r="28" customFormat="false" ht="15" hidden="false" customHeight="false" outlineLevel="0" collapsed="false">
      <c r="B28" s="20" t="s">
        <v>44</v>
      </c>
      <c r="C28" s="46" t="n">
        <f aca="false">SUM(C21:G21)</f>
        <v>444.376821828398</v>
      </c>
      <c r="E28" s="46" t="n">
        <f aca="false">C28</f>
        <v>444.376821828398</v>
      </c>
    </row>
    <row r="29" customFormat="false" ht="15" hidden="false" customHeight="false" outlineLevel="0" collapsed="false">
      <c r="B29" s="30" t="s">
        <v>46</v>
      </c>
      <c r="C29" s="52" t="n">
        <f aca="false">C27+C28</f>
        <v>1888.87228921064</v>
      </c>
      <c r="E29" s="52" t="n">
        <f aca="false">E27+E28</f>
        <v>3240.42999536587</v>
      </c>
    </row>
    <row r="30" customFormat="false" ht="15" hidden="false" customHeight="false" outlineLevel="0" collapsed="false">
      <c r="B30" s="20" t="s">
        <v>169</v>
      </c>
      <c r="C30" s="44" t="n">
        <f aca="false">C27/C29</f>
        <v>0.764739615077892</v>
      </c>
      <c r="E30" s="44" t="n">
        <f aca="false">E27/E29</f>
        <v>0.862864859767407</v>
      </c>
    </row>
    <row r="31" customFormat="false" ht="15" hidden="false" customHeight="false" outlineLevel="0" collapsed="false">
      <c r="B31" s="20" t="s">
        <v>170</v>
      </c>
      <c r="C31" s="46" t="n">
        <f aca="false">-Operating!$C$4</f>
        <v>-84.34</v>
      </c>
      <c r="E31" s="46" t="n">
        <f aca="false">-Operating!$C$4</f>
        <v>-84.34</v>
      </c>
    </row>
    <row r="32" customFormat="false" ht="15" hidden="false" customHeight="false" outlineLevel="0" collapsed="false">
      <c r="B32" s="20" t="s">
        <v>171</v>
      </c>
      <c r="C32" s="46" t="n">
        <f aca="false">Operating!$C$5</f>
        <v>146.52</v>
      </c>
      <c r="E32" s="46" t="n">
        <f aca="false">Operating!$C$5</f>
        <v>146.52</v>
      </c>
    </row>
    <row r="33" customFormat="false" ht="15" hidden="false" customHeight="false" outlineLevel="0" collapsed="false">
      <c r="B33" s="30" t="s">
        <v>48</v>
      </c>
      <c r="C33" s="52" t="n">
        <f aca="false">C29+C31+C32</f>
        <v>1951.05228921064</v>
      </c>
      <c r="E33" s="52" t="n">
        <f aca="false">E29+E31+E32</f>
        <v>3302.60999536587</v>
      </c>
    </row>
    <row r="34" customFormat="false" ht="15" hidden="false" customHeight="false" outlineLevel="0" collapsed="false">
      <c r="B34" s="20" t="s">
        <v>172</v>
      </c>
      <c r="C34" s="55" t="n">
        <f aca="false">Inputs!$C$8</f>
        <v>14.715</v>
      </c>
      <c r="E34" s="55" t="n">
        <f aca="false">Inputs!$C$8</f>
        <v>14.715</v>
      </c>
    </row>
    <row r="35" customFormat="false" ht="15" hidden="false" customHeight="false" outlineLevel="0" collapsed="false">
      <c r="B35" s="30" t="s">
        <v>49</v>
      </c>
      <c r="C35" s="56" t="n">
        <f aca="false">C33/C34</f>
        <v>132.589350269156</v>
      </c>
      <c r="E35" s="56" t="n">
        <f aca="false">E33/E34</f>
        <v>224.438327921568</v>
      </c>
    </row>
    <row r="36" customFormat="false" ht="15" hidden="false" customHeight="false" outlineLevel="0" collapsed="false">
      <c r="B36" s="20" t="s">
        <v>173</v>
      </c>
      <c r="C36" s="44" t="n">
        <f aca="false">C35/Inputs!$C$7-1</f>
        <v>-0.600959008429421</v>
      </c>
      <c r="E36" s="44" t="n">
        <f aca="false">E35/Inputs!$C$7-1</f>
        <v>-0.324530267789546</v>
      </c>
    </row>
    <row r="38" customFormat="false" ht="15" hidden="false" customHeight="false" outlineLevel="0" collapsed="false">
      <c r="B38" s="49" t="s">
        <v>174</v>
      </c>
      <c r="C38" s="11"/>
      <c r="D38" s="11"/>
      <c r="E38" s="11"/>
      <c r="F38" s="11"/>
      <c r="G38" s="11"/>
      <c r="H38" s="11"/>
      <c r="I38" s="11"/>
    </row>
    <row r="39" customFormat="false" ht="15" hidden="false" customHeight="false" outlineLevel="0" collapsed="false">
      <c r="B39" s="20" t="s">
        <v>175</v>
      </c>
      <c r="C39" s="57" t="n">
        <f aca="false">C25/(G7+G10)</f>
        <v>11.3656280156517</v>
      </c>
      <c r="E39" s="57" t="str">
        <f aca="false">""</f>
        <v/>
      </c>
    </row>
    <row r="40" customFormat="false" ht="15" hidden="false" customHeight="false" outlineLevel="0" collapsed="false">
      <c r="B40" s="20" t="s">
        <v>176</v>
      </c>
      <c r="C40" s="44" t="str">
        <f aca="false">""</f>
        <v/>
      </c>
      <c r="E40" s="44" t="n">
        <f aca="false">(WACC!$C$37*E25-G13)/(E25+G13)</f>
        <v>0.0622924371880801</v>
      </c>
    </row>
    <row r="41" customFormat="false" ht="15" hidden="false" customHeight="false" outlineLevel="0" collapsed="false">
      <c r="B41" s="20" t="s">
        <v>177</v>
      </c>
      <c r="C41" s="57" t="n">
        <f aca="false">C33/Inputs!$C$14</f>
        <v>15.1361698154433</v>
      </c>
      <c r="E41" s="57" t="n">
        <f aca="false">E33/Inputs!$C$14</f>
        <v>25.6214894908136</v>
      </c>
    </row>
    <row r="42" customFormat="false" ht="15" hidden="false" customHeight="false" outlineLevel="0" collapsed="false">
      <c r="B42" s="20" t="s">
        <v>178</v>
      </c>
      <c r="C42" s="57" t="n">
        <f aca="false">Inputs!$C$7*Inputs!$C$8/Inputs!$C$14</f>
        <v>37.9313657874321</v>
      </c>
      <c r="E42" s="57" t="n">
        <f aca="false">C42</f>
        <v>37.9313657874321</v>
      </c>
    </row>
    <row r="44" customFormat="false" ht="30" hidden="false" customHeight="true" outlineLevel="0" collapsed="false">
      <c r="B44" s="19" t="s">
        <v>179</v>
      </c>
      <c r="C44" s="19"/>
      <c r="D44" s="19"/>
      <c r="E44" s="19"/>
      <c r="F44" s="19"/>
      <c r="G44" s="19"/>
      <c r="H44" s="19"/>
      <c r="I44" s="19"/>
    </row>
  </sheetData>
  <mergeCells count="1">
    <mergeCell ref="B44:I44"/>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&amp;L&amp;"Arial,Bold"&amp;8Apple Inc. — DCF Valuation&amp;R&amp;"Arial,Regular"&amp;8DCF</oddHeader>
    <oddFooter>&amp;L&amp;"Arial,Regular"&amp;8Jainam Mehta · github.com/jainammehta1215/ib-portfolio&amp;C&amp;"Arial,Regular"&amp;8Blue = input · Black = formula · Green = link&amp;R&amp;"Arial,Regular"&amp;8Page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22"/>
    <col collapsed="false" customWidth="true" hidden="false" outlineLevel="0" max="10" min="3" style="0" width="12"/>
  </cols>
  <sheetData>
    <row r="1" customFormat="false" ht="30" hidden="false" customHeight="true" outlineLevel="0" collapsed="false">
      <c r="A1" s="1"/>
      <c r="B1" s="21" t="s">
        <v>37</v>
      </c>
      <c r="C1" s="1"/>
      <c r="D1" s="1"/>
      <c r="E1" s="1"/>
      <c r="F1" s="1"/>
      <c r="G1" s="1"/>
      <c r="H1" s="1"/>
      <c r="I1" s="1"/>
      <c r="J1" s="22" t="s">
        <v>38</v>
      </c>
    </row>
    <row r="2" customFormat="false" ht="18" hidden="false" customHeight="true" outlineLevel="0" collapsed="false">
      <c r="A2" s="1"/>
      <c r="B2" s="23" t="s">
        <v>180</v>
      </c>
      <c r="C2" s="1"/>
      <c r="D2" s="1"/>
      <c r="E2" s="1"/>
      <c r="F2" s="1"/>
      <c r="G2" s="1"/>
      <c r="H2" s="1"/>
      <c r="I2" s="1"/>
      <c r="J2" s="1"/>
    </row>
    <row r="4" customFormat="false" ht="15.75" hidden="false" customHeight="true" outlineLevel="0" collapsed="false">
      <c r="B4" s="25" t="s">
        <v>181</v>
      </c>
      <c r="C4" s="1"/>
      <c r="D4" s="1"/>
      <c r="E4" s="1"/>
      <c r="F4" s="1"/>
      <c r="G4" s="1"/>
      <c r="H4" s="1"/>
      <c r="I4" s="1"/>
      <c r="J4" s="1"/>
    </row>
    <row r="5" customFormat="false" ht="15" hidden="false" customHeight="false" outlineLevel="0" collapsed="false">
      <c r="B5" s="5" t="s">
        <v>182</v>
      </c>
      <c r="C5" s="58" t="n">
        <v>0.02</v>
      </c>
      <c r="D5" s="58" t="n">
        <v>0.025</v>
      </c>
      <c r="E5" s="58" t="n">
        <v>0.03</v>
      </c>
      <c r="F5" s="58" t="n">
        <v>0.035</v>
      </c>
      <c r="G5" s="58" t="n">
        <v>0.04</v>
      </c>
    </row>
    <row r="6" customFormat="false" ht="15" hidden="false" customHeight="false" outlineLevel="0" collapsed="false">
      <c r="B6" s="58" t="n">
        <v>0.075</v>
      </c>
      <c r="C6" s="59" t="n">
        <f aca="false">(SUMPRODUCT(DCF!$C$18:$G$18,1/(1+$B6)^DCF!$C$19:$G$19)+DCF!$G$13*(1+C$5)/($B6-C$5)/(1+$B6)^(DCF!$C$17+DCF!$D$17+DCF!$E$17+DCF!$F$17+DCF!$G$17)+(-Operating!$C$4+Operating!$C$5))/Inputs!$C$8</f>
        <v>169.411280530876</v>
      </c>
      <c r="D6" s="59" t="n">
        <f aca="false">(SUMPRODUCT(DCF!$C$18:$G$18,1/(1+$B6)^DCF!$C$19:$G$19)+DCF!$G$13*(1+D$5)/($B6-D$5)/(1+$B6)^(DCF!$C$17+DCF!$D$17+DCF!$E$17+DCF!$F$17+DCF!$G$17)+(-Operating!$C$4+Operating!$C$5))/Inputs!$C$8</f>
        <v>183.495354073638</v>
      </c>
      <c r="E6" s="59" t="n">
        <f aca="false">(SUMPRODUCT(DCF!$C$18:$G$18,1/(1+$B6)^DCF!$C$19:$G$19)+DCF!$G$13*(1+E$5)/($B6-E$5)/(1+$B6)^(DCF!$C$17+DCF!$D$17+DCF!$E$17+DCF!$F$17+DCF!$G$17)+(-Operating!$C$4+Operating!$C$5))/Inputs!$C$8</f>
        <v>200.709221737015</v>
      </c>
      <c r="F6" s="59" t="n">
        <f aca="false">(SUMPRODUCT(DCF!$C$18:$G$18,1/(1+$B6)^DCF!$C$19:$G$19)+DCF!$G$13*(1+F$5)/($B6-F$5)/(1+$B6)^(DCF!$C$17+DCF!$D$17+DCF!$E$17+DCF!$F$17+DCF!$G$17)+(-Operating!$C$4+Operating!$C$5))/Inputs!$C$8</f>
        <v>222.226556316236</v>
      </c>
      <c r="G6" s="59" t="n">
        <f aca="false">(SUMPRODUCT(DCF!$C$18:$G$18,1/(1+$B6)^DCF!$C$19:$G$19)+DCF!$G$13*(1+G$5)/($B6-G$5)/(1+$B6)^(DCF!$C$17+DCF!$D$17+DCF!$E$17+DCF!$F$17+DCF!$G$17)+(-Operating!$C$4+Operating!$C$5))/Inputs!$C$8</f>
        <v>249.891700775235</v>
      </c>
    </row>
    <row r="7" customFormat="false" ht="15" hidden="false" customHeight="false" outlineLevel="0" collapsed="false">
      <c r="B7" s="58" t="n">
        <v>0.08</v>
      </c>
      <c r="C7" s="59" t="n">
        <f aca="false">(SUMPRODUCT(DCF!$C$18:$G$18,1/(1+$B7)^DCF!$C$19:$G$19)+DCF!$G$13*(1+C$5)/($B7-C$5)/(1+$B7)^(DCF!$C$17+DCF!$D$17+DCF!$E$17+DCF!$F$17+DCF!$G$17)+(-Operating!$C$4+Operating!$C$5))/Inputs!$C$8</f>
        <v>155.709775966939</v>
      </c>
      <c r="D7" s="59" t="n">
        <f aca="false">(SUMPRODUCT(DCF!$C$18:$G$18,1/(1+$B7)^DCF!$C$19:$G$19)+DCF!$G$13*(1+D$5)/($B7-D$5)/(1+$B7)^(DCF!$C$17+DCF!$D$17+DCF!$E$17+DCF!$F$17+DCF!$G$17)+(-Operating!$C$4+Operating!$C$5))/Inputs!$C$8</f>
        <v>167.282009622765</v>
      </c>
      <c r="E7" s="59" t="n">
        <f aca="false">(SUMPRODUCT(DCF!$C$18:$G$18,1/(1+$B7)^DCF!$C$19:$G$19)+DCF!$G$13*(1+E$5)/($B7-E$5)/(1+$B7)^(DCF!$C$17+DCF!$D$17+DCF!$E$17+DCF!$F$17+DCF!$G$17)+(-Operating!$C$4+Operating!$C$5))/Inputs!$C$8</f>
        <v>181.168690009755</v>
      </c>
      <c r="F7" s="59" t="n">
        <f aca="false">(SUMPRODUCT(DCF!$C$18:$G$18,1/(1+$B7)^DCF!$C$19:$G$19)+DCF!$G$13*(1+F$5)/($B7-F$5)/(1+$B7)^(DCF!$C$17+DCF!$D$17+DCF!$E$17+DCF!$F$17+DCF!$G$17)+(-Operating!$C$4+Operating!$C$5))/Inputs!$C$8</f>
        <v>198.141299371632</v>
      </c>
      <c r="G7" s="59" t="n">
        <f aca="false">(SUMPRODUCT(DCF!$C$18:$G$18,1/(1+$B7)^DCF!$C$19:$G$19)+DCF!$G$13*(1+G$5)/($B7-G$5)/(1+$B7)^(DCF!$C$17+DCF!$D$17+DCF!$E$17+DCF!$F$17+DCF!$G$17)+(-Operating!$C$4+Operating!$C$5))/Inputs!$C$8</f>
        <v>219.357061073979</v>
      </c>
    </row>
    <row r="8" customFormat="false" ht="15" hidden="false" customHeight="false" outlineLevel="0" collapsed="false">
      <c r="B8" s="58" t="n">
        <v>0.085</v>
      </c>
      <c r="C8" s="59" t="n">
        <f aca="false">(SUMPRODUCT(DCF!$C$18:$G$18,1/(1+$B8)^DCF!$C$19:$G$19)+DCF!$G$13*(1+C$5)/($B8-C$5)/(1+$B8)^(DCF!$C$17+DCF!$D$17+DCF!$E$17+DCF!$F$17+DCF!$G$17)+(-Operating!$C$4+Operating!$C$5))/Inputs!$C$8</f>
        <v>144.124982726537</v>
      </c>
      <c r="D8" s="59" t="n">
        <f aca="false">(SUMPRODUCT(DCF!$C$18:$G$18,1/(1+$B8)^DCF!$C$19:$G$19)+DCF!$G$13*(1+D$5)/($B8-D$5)/(1+$B8)^(DCF!$C$17+DCF!$D$17+DCF!$E$17+DCF!$F$17+DCF!$G$17)+(-Operating!$C$4+Operating!$C$5))/Inputs!$C$8</f>
        <v>153.780265469645</v>
      </c>
      <c r="E8" s="59" t="n">
        <f aca="false">(SUMPRODUCT(DCF!$C$18:$G$18,1/(1+$B8)^DCF!$C$19:$G$19)+DCF!$G$13*(1+E$5)/($B8-E$5)/(1+$B8)^(DCF!$C$17+DCF!$D$17+DCF!$E$17+DCF!$F$17+DCF!$G$17)+(-Operating!$C$4+Operating!$C$5))/Inputs!$C$8</f>
        <v>165.191054166046</v>
      </c>
      <c r="F8" s="59" t="n">
        <f aca="false">(SUMPRODUCT(DCF!$C$18:$G$18,1/(1+$B8)^DCF!$C$19:$G$19)+DCF!$G$13*(1+F$5)/($B8-F$5)/(1+$B8)^(DCF!$C$17+DCF!$D$17+DCF!$E$17+DCF!$F$17+DCF!$G$17)+(-Operating!$C$4+Operating!$C$5))/Inputs!$C$8</f>
        <v>178.884000601727</v>
      </c>
      <c r="G8" s="59" t="n">
        <f aca="false">(SUMPRODUCT(DCF!$C$18:$G$18,1/(1+$B8)^DCF!$C$19:$G$19)+DCF!$G$13*(1+G$5)/($B8-G$5)/(1+$B8)^(DCF!$C$17+DCF!$D$17+DCF!$E$17+DCF!$F$17+DCF!$G$17)+(-Operating!$C$4+Operating!$C$5))/Inputs!$C$8</f>
        <v>195.619824023114</v>
      </c>
    </row>
    <row r="9" customFormat="false" ht="15" hidden="false" customHeight="false" outlineLevel="0" collapsed="false">
      <c r="B9" s="58" t="n">
        <v>0.09</v>
      </c>
      <c r="C9" s="59" t="n">
        <f aca="false">(SUMPRODUCT(DCF!$C$18:$G$18,1/(1+$B9)^DCF!$C$19:$G$19)+DCF!$G$13*(1+C$5)/($B9-C$5)/(1+$B9)^(DCF!$C$17+DCF!$D$17+DCF!$E$17+DCF!$F$17+DCF!$G$17)+(-Operating!$C$4+Operating!$C$5))/Inputs!$C$8</f>
        <v>134.203005298611</v>
      </c>
      <c r="D9" s="59" t="n">
        <f aca="false">(SUMPRODUCT(DCF!$C$18:$G$18,1/(1+$B9)^DCF!$C$19:$G$19)+DCF!$G$13*(1+D$5)/($B9-D$5)/(1+$B9)^(DCF!$C$17+DCF!$D$17+DCF!$E$17+DCF!$F$17+DCF!$G$17)+(-Operating!$C$4+Operating!$C$5))/Inputs!$C$8</f>
        <v>142.364030685916</v>
      </c>
      <c r="E9" s="59" t="n">
        <f aca="false">(SUMPRODUCT(DCF!$C$18:$G$18,1/(1+$B9)^DCF!$C$19:$G$19)+DCF!$G$13*(1+E$5)/($B9-E$5)/(1+$B9)^(DCF!$C$17+DCF!$D$17+DCF!$E$17+DCF!$F$17+DCF!$G$17)+(-Operating!$C$4+Operating!$C$5))/Inputs!$C$8</f>
        <v>151.885226971106</v>
      </c>
      <c r="F9" s="59" t="n">
        <f aca="false">(SUMPRODUCT(DCF!$C$18:$G$18,1/(1+$B9)^DCF!$C$19:$G$19)+DCF!$G$13*(1+F$5)/($B9-F$5)/(1+$B9)^(DCF!$C$17+DCF!$D$17+DCF!$E$17+DCF!$F$17+DCF!$G$17)+(-Operating!$C$4+Operating!$C$5))/Inputs!$C$8</f>
        <v>163.137549853603</v>
      </c>
      <c r="G9" s="59" t="n">
        <f aca="false">(SUMPRODUCT(DCF!$C$18:$G$18,1/(1+$B9)^DCF!$C$19:$G$19)+DCF!$G$13*(1+G$5)/($B9-G$5)/(1+$B9)^(DCF!$C$17+DCF!$D$17+DCF!$E$17+DCF!$F$17+DCF!$G$17)+(-Operating!$C$4+Operating!$C$5))/Inputs!$C$8</f>
        <v>176.640337312599</v>
      </c>
    </row>
    <row r="10" customFormat="false" ht="15" hidden="false" customHeight="false" outlineLevel="0" collapsed="false">
      <c r="B10" s="58" t="n">
        <v>0.095</v>
      </c>
      <c r="C10" s="59" t="n">
        <f aca="false">(SUMPRODUCT(DCF!$C$18:$G$18,1/(1+$B10)^DCF!$C$19:$G$19)+DCF!$G$13*(1+C$5)/($B10-C$5)/(1+$B10)^(DCF!$C$17+DCF!$D$17+DCF!$E$17+DCF!$F$17+DCF!$G$17)+(-Operating!$C$4+Operating!$C$5))/Inputs!$C$8</f>
        <v>125.610998274444</v>
      </c>
      <c r="D10" s="59" t="n">
        <f aca="false">(SUMPRODUCT(DCF!$C$18:$G$18,1/(1+$B10)^DCF!$C$19:$G$19)+DCF!$G$13*(1+D$5)/($B10-D$5)/(1+$B10)^(DCF!$C$17+DCF!$D$17+DCF!$E$17+DCF!$F$17+DCF!$G$17)+(-Operating!$C$4+Operating!$C$5))/Inputs!$C$8</f>
        <v>132.586109557276</v>
      </c>
      <c r="E10" s="59" t="n">
        <f aca="false">(SUMPRODUCT(DCF!$C$18:$G$18,1/(1+$B10)^DCF!$C$19:$G$19)+DCF!$G$13*(1+E$5)/($B10-E$5)/(1+$B10)^(DCF!$C$17+DCF!$D$17+DCF!$E$17+DCF!$F$17+DCF!$G$17)+(-Operating!$C$4+Operating!$C$5))/Inputs!$C$8</f>
        <v>140.634314883621</v>
      </c>
      <c r="F10" s="59" t="n">
        <f aca="false">(SUMPRODUCT(DCF!$C$18:$G$18,1/(1+$B10)^DCF!$C$19:$G$19)+DCF!$G$13*(1+F$5)/($B10-F$5)/(1+$B10)^(DCF!$C$17+DCF!$D$17+DCF!$E$17+DCF!$F$17+DCF!$G$17)+(-Operating!$C$4+Operating!$C$5))/Inputs!$C$8</f>
        <v>150.023887764356</v>
      </c>
      <c r="G10" s="59" t="n">
        <f aca="false">(SUMPRODUCT(DCF!$C$18:$G$18,1/(1+$B10)^DCF!$C$19:$G$19)+DCF!$G$13*(1+G$5)/($B10-G$5)/(1+$B10)^(DCF!$C$17+DCF!$D$17+DCF!$E$17+DCF!$F$17+DCF!$G$17)+(-Operating!$C$4+Operating!$C$5))/Inputs!$C$8</f>
        <v>161.120655714316</v>
      </c>
    </row>
    <row r="11" customFormat="false" ht="15" hidden="false" customHeight="false" outlineLevel="0" collapsed="false">
      <c r="B11" s="58" t="n">
        <v>0.1</v>
      </c>
      <c r="C11" s="59" t="n">
        <f aca="false">(SUMPRODUCT(DCF!$C$18:$G$18,1/(1+$B11)^DCF!$C$19:$G$19)+DCF!$G$13*(1+C$5)/($B11-C$5)/(1+$B11)^(DCF!$C$17+DCF!$D$17+DCF!$E$17+DCF!$F$17+DCF!$G$17)+(-Operating!$C$4+Operating!$C$5))/Inputs!$C$8</f>
        <v>118.09933775366</v>
      </c>
      <c r="D11" s="59" t="n">
        <f aca="false">(SUMPRODUCT(DCF!$C$18:$G$18,1/(1+$B11)^DCF!$C$19:$G$19)+DCF!$G$13*(1+D$5)/($B11-D$5)/(1+$B11)^(DCF!$C$17+DCF!$D$17+DCF!$E$17+DCF!$F$17+DCF!$G$17)+(-Operating!$C$4+Operating!$C$5))/Inputs!$C$8</f>
        <v>124.118569378995</v>
      </c>
      <c r="E11" s="59" t="n">
        <f aca="false">(SUMPRODUCT(DCF!$C$18:$G$18,1/(1+$B11)^DCF!$C$19:$G$19)+DCF!$G$13*(1+E$5)/($B11-E$5)/(1+$B11)^(DCF!$C$17+DCF!$D$17+DCF!$E$17+DCF!$F$17+DCF!$G$17)+(-Operating!$C$4+Operating!$C$5))/Inputs!$C$8</f>
        <v>130.997691236521</v>
      </c>
      <c r="F11" s="59" t="n">
        <f aca="false">(SUMPRODUCT(DCF!$C$18:$G$18,1/(1+$B11)^DCF!$C$19:$G$19)+DCF!$G$13*(1+F$5)/($B11-F$5)/(1+$B11)^(DCF!$C$17+DCF!$D$17+DCF!$E$17+DCF!$F$17+DCF!$G$17)+(-Operating!$C$4+Operating!$C$5))/Inputs!$C$8</f>
        <v>138.935139533667</v>
      </c>
      <c r="G11" s="59" t="n">
        <f aca="false">(SUMPRODUCT(DCF!$C$18:$G$18,1/(1+$B11)^DCF!$C$19:$G$19)+DCF!$G$13*(1+G$5)/($B11-G$5)/(1+$B11)^(DCF!$C$17+DCF!$D$17+DCF!$E$17+DCF!$F$17+DCF!$G$17)+(-Operating!$C$4+Operating!$C$5))/Inputs!$C$8</f>
        <v>148.195495880336</v>
      </c>
    </row>
    <row r="12" customFormat="false" ht="15" hidden="false" customHeight="false" outlineLevel="0" collapsed="false">
      <c r="B12" s="58" t="n">
        <v>0.105</v>
      </c>
      <c r="C12" s="59" t="n">
        <f aca="false">(SUMPRODUCT(DCF!$C$18:$G$18,1/(1+$B12)^DCF!$C$19:$G$19)+DCF!$G$13*(1+C$5)/($B12-C$5)/(1+$B12)^(DCF!$C$17+DCF!$D$17+DCF!$E$17+DCF!$F$17+DCF!$G$17)+(-Operating!$C$4+Operating!$C$5))/Inputs!$C$8</f>
        <v>111.477144037076</v>
      </c>
      <c r="D12" s="59" t="n">
        <f aca="false">(SUMPRODUCT(DCF!$C$18:$G$18,1/(1+$B12)^DCF!$C$19:$G$19)+DCF!$G$13*(1+D$5)/($B12-D$5)/(1+$B12)^(DCF!$C$17+DCF!$D$17+DCF!$E$17+DCF!$F$17+DCF!$G$17)+(-Operating!$C$4+Operating!$C$5))/Inputs!$C$8</f>
        <v>116.715470347678</v>
      </c>
      <c r="E12" s="59" t="n">
        <f aca="false">(SUMPRODUCT(DCF!$C$18:$G$18,1/(1+$B12)^DCF!$C$19:$G$19)+DCF!$G$13*(1+E$5)/($B12-E$5)/(1+$B12)^(DCF!$C$17+DCF!$D$17+DCF!$E$17+DCF!$F$17+DCF!$G$17)+(-Operating!$C$4+Operating!$C$5))/Inputs!$C$8</f>
        <v>122.65224016636</v>
      </c>
      <c r="F12" s="59" t="n">
        <f aca="false">(SUMPRODUCT(DCF!$C$18:$G$18,1/(1+$B12)^DCF!$C$19:$G$19)+DCF!$G$13*(1+F$5)/($B12-F$5)/(1+$B12)^(DCF!$C$17+DCF!$D$17+DCF!$E$17+DCF!$F$17+DCF!$G$17)+(-Operating!$C$4+Operating!$C$5))/Inputs!$C$8</f>
        <v>129.43711995914</v>
      </c>
      <c r="G12" s="59" t="n">
        <f aca="false">(SUMPRODUCT(DCF!$C$18:$G$18,1/(1+$B12)^DCF!$C$19:$G$19)+DCF!$G$13*(1+G$5)/($B12-G$5)/(1+$B12)^(DCF!$C$17+DCF!$D$17+DCF!$E$17+DCF!$F$17+DCF!$G$17)+(-Operating!$C$4+Operating!$C$5))/Inputs!$C$8</f>
        <v>137.265827412347</v>
      </c>
    </row>
    <row r="15" customFormat="false" ht="15.75" hidden="false" customHeight="true" outlineLevel="0" collapsed="false">
      <c r="B15" s="25" t="s">
        <v>183</v>
      </c>
      <c r="C15" s="1"/>
      <c r="D15" s="1"/>
      <c r="E15" s="1"/>
      <c r="F15" s="1"/>
      <c r="G15" s="1"/>
      <c r="H15" s="1"/>
      <c r="I15" s="1"/>
      <c r="J15" s="1"/>
    </row>
    <row r="16" customFormat="false" ht="15" hidden="false" customHeight="false" outlineLevel="0" collapsed="false">
      <c r="B16" s="5" t="s">
        <v>184</v>
      </c>
      <c r="C16" s="60" t="n">
        <v>16</v>
      </c>
      <c r="D16" s="60" t="n">
        <v>19</v>
      </c>
      <c r="E16" s="60" t="n">
        <v>22</v>
      </c>
      <c r="F16" s="60" t="n">
        <v>25</v>
      </c>
      <c r="G16" s="60" t="n">
        <v>28</v>
      </c>
    </row>
    <row r="17" customFormat="false" ht="15" hidden="false" customHeight="false" outlineLevel="0" collapsed="false">
      <c r="B17" s="58" t="n">
        <v>0.075</v>
      </c>
      <c r="C17" s="59" t="n">
        <f aca="false">(SUMPRODUCT(DCF!$C$18:$G$18,1/(1+$B17)^DCF!$C$19:$G$19)+(DCF!$G$7+DCF!$G$10)*C$16/(1+$B17)^(DCF!$C$17+DCF!$D$17+DCF!$E$17+DCF!$F$17+DCF!$G$17)+(-Operating!$C$4+Operating!$C$5))/Inputs!$C$8</f>
        <v>186.934998815991</v>
      </c>
      <c r="D17" s="59" t="n">
        <f aca="false">(SUMPRODUCT(DCF!$C$18:$G$18,1/(1+$B17)^DCF!$C$19:$G$19)+(DCF!$G$7+DCF!$G$10)*D$16/(1+$B17)^(DCF!$C$17+DCF!$D$17+DCF!$E$17+DCF!$F$17+DCF!$G$17)+(-Operating!$C$4+Operating!$C$5))/Inputs!$C$8</f>
        <v>215.277245436807</v>
      </c>
      <c r="E17" s="59" t="n">
        <f aca="false">(SUMPRODUCT(DCF!$C$18:$G$18,1/(1+$B17)^DCF!$C$19:$G$19)+(DCF!$G$7+DCF!$G$10)*E$16/(1+$B17)^(DCF!$C$17+DCF!$D$17+DCF!$E$17+DCF!$F$17+DCF!$G$17)+(-Operating!$C$4+Operating!$C$5))/Inputs!$C$8</f>
        <v>243.619492057623</v>
      </c>
      <c r="F17" s="59" t="n">
        <f aca="false">(SUMPRODUCT(DCF!$C$18:$G$18,1/(1+$B17)^DCF!$C$19:$G$19)+(DCF!$G$7+DCF!$G$10)*F$16/(1+$B17)^(DCF!$C$17+DCF!$D$17+DCF!$E$17+DCF!$F$17+DCF!$G$17)+(-Operating!$C$4+Operating!$C$5))/Inputs!$C$8</f>
        <v>271.961738678439</v>
      </c>
      <c r="G17" s="59" t="n">
        <f aca="false">(SUMPRODUCT(DCF!$C$18:$G$18,1/(1+$B17)^DCF!$C$19:$G$19)+(DCF!$G$7+DCF!$G$10)*G$16/(1+$B17)^(DCF!$C$17+DCF!$D$17+DCF!$E$17+DCF!$F$17+DCF!$G$17)+(-Operating!$C$4+Operating!$C$5))/Inputs!$C$8</f>
        <v>300.303985299256</v>
      </c>
    </row>
    <row r="18" customFormat="false" ht="15" hidden="false" customHeight="false" outlineLevel="0" collapsed="false">
      <c r="B18" s="58" t="n">
        <v>0.08</v>
      </c>
      <c r="C18" s="59" t="n">
        <f aca="false">(SUMPRODUCT(DCF!$C$18:$G$18,1/(1+$B18)^DCF!$C$19:$G$19)+(DCF!$G$7+DCF!$G$10)*C$16/(1+$B18)^(DCF!$C$17+DCF!$D$17+DCF!$E$17+DCF!$F$17+DCF!$G$17)+(-Operating!$C$4+Operating!$C$5))/Inputs!$C$8</f>
        <v>183.837233789227</v>
      </c>
      <c r="D18" s="59" t="n">
        <f aca="false">(SUMPRODUCT(DCF!$C$18:$G$18,1/(1+$B18)^DCF!$C$19:$G$19)+(DCF!$G$7+DCF!$G$10)*D$16/(1+$B18)^(DCF!$C$17+DCF!$D$17+DCF!$E$17+DCF!$F$17+DCF!$G$17)+(-Operating!$C$4+Operating!$C$5))/Inputs!$C$8</f>
        <v>211.652878939649</v>
      </c>
      <c r="E18" s="59" t="n">
        <f aca="false">(SUMPRODUCT(DCF!$C$18:$G$18,1/(1+$B18)^DCF!$C$19:$G$19)+(DCF!$G$7+DCF!$G$10)*E$16/(1+$B18)^(DCF!$C$17+DCF!$D$17+DCF!$E$17+DCF!$F$17+DCF!$G$17)+(-Operating!$C$4+Operating!$C$5))/Inputs!$C$8</f>
        <v>239.468524090071</v>
      </c>
      <c r="F18" s="59" t="n">
        <f aca="false">(SUMPRODUCT(DCF!$C$18:$G$18,1/(1+$B18)^DCF!$C$19:$G$19)+(DCF!$G$7+DCF!$G$10)*F$16/(1+$B18)^(DCF!$C$17+DCF!$D$17+DCF!$E$17+DCF!$F$17+DCF!$G$17)+(-Operating!$C$4+Operating!$C$5))/Inputs!$C$8</f>
        <v>267.284169240493</v>
      </c>
      <c r="G18" s="59" t="n">
        <f aca="false">(SUMPRODUCT(DCF!$C$18:$G$18,1/(1+$B18)^DCF!$C$19:$G$19)+(DCF!$G$7+DCF!$G$10)*G$16/(1+$B18)^(DCF!$C$17+DCF!$D$17+DCF!$E$17+DCF!$F$17+DCF!$G$17)+(-Operating!$C$4+Operating!$C$5))/Inputs!$C$8</f>
        <v>295.099814390915</v>
      </c>
    </row>
    <row r="19" customFormat="false" ht="15" hidden="false" customHeight="false" outlineLevel="0" collapsed="false">
      <c r="B19" s="58" t="n">
        <v>0.085</v>
      </c>
      <c r="C19" s="59" t="n">
        <f aca="false">(SUMPRODUCT(DCF!$C$18:$G$18,1/(1+$B19)^DCF!$C$19:$G$19)+(DCF!$G$7+DCF!$G$10)*C$16/(1+$B19)^(DCF!$C$17+DCF!$D$17+DCF!$E$17+DCF!$F$17+DCF!$G$17)+(-Operating!$C$4+Operating!$C$5))/Inputs!$C$8</f>
        <v>180.809076992537</v>
      </c>
      <c r="D19" s="59" t="n">
        <f aca="false">(SUMPRODUCT(DCF!$C$18:$G$18,1/(1+$B19)^DCF!$C$19:$G$19)+(DCF!$G$7+DCF!$G$10)*D$16/(1+$B19)^(DCF!$C$17+DCF!$D$17+DCF!$E$17+DCF!$F$17+DCF!$G$17)+(-Operating!$C$4+Operating!$C$5))/Inputs!$C$8</f>
        <v>208.110269916659</v>
      </c>
      <c r="E19" s="59" t="n">
        <f aca="false">(SUMPRODUCT(DCF!$C$18:$G$18,1/(1+$B19)^DCF!$C$19:$G$19)+(DCF!$G$7+DCF!$G$10)*E$16/(1+$B19)^(DCF!$C$17+DCF!$D$17+DCF!$E$17+DCF!$F$17+DCF!$G$17)+(-Operating!$C$4+Operating!$C$5))/Inputs!$C$8</f>
        <v>235.411462840782</v>
      </c>
      <c r="F19" s="59" t="n">
        <f aca="false">(SUMPRODUCT(DCF!$C$18:$G$18,1/(1+$B19)^DCF!$C$19:$G$19)+(DCF!$G$7+DCF!$G$10)*F$16/(1+$B19)^(DCF!$C$17+DCF!$D$17+DCF!$E$17+DCF!$F$17+DCF!$G$17)+(-Operating!$C$4+Operating!$C$5))/Inputs!$C$8</f>
        <v>262.712655764904</v>
      </c>
      <c r="G19" s="59" t="n">
        <f aca="false">(SUMPRODUCT(DCF!$C$18:$G$18,1/(1+$B19)^DCF!$C$19:$G$19)+(DCF!$G$7+DCF!$G$10)*G$16/(1+$B19)^(DCF!$C$17+DCF!$D$17+DCF!$E$17+DCF!$F$17+DCF!$G$17)+(-Operating!$C$4+Operating!$C$5))/Inputs!$C$8</f>
        <v>290.013848689026</v>
      </c>
    </row>
    <row r="20" customFormat="false" ht="15" hidden="false" customHeight="false" outlineLevel="0" collapsed="false">
      <c r="B20" s="58" t="n">
        <v>0.09</v>
      </c>
      <c r="C20" s="59" t="n">
        <f aca="false">(SUMPRODUCT(DCF!$C$18:$G$18,1/(1+$B20)^DCF!$C$19:$G$19)+(DCF!$G$7+DCF!$G$10)*C$16/(1+$B20)^(DCF!$C$17+DCF!$D$17+DCF!$E$17+DCF!$F$17+DCF!$G$17)+(-Operating!$C$4+Operating!$C$5))/Inputs!$C$8</f>
        <v>177.848638156819</v>
      </c>
      <c r="D20" s="59" t="n">
        <f aca="false">(SUMPRODUCT(DCF!$C$18:$G$18,1/(1+$B20)^DCF!$C$19:$G$19)+(DCF!$G$7+DCF!$G$10)*D$16/(1+$B20)^(DCF!$C$17+DCF!$D$17+DCF!$E$17+DCF!$F$17+DCF!$G$17)+(-Operating!$C$4+Operating!$C$5))/Inputs!$C$8</f>
        <v>204.647193739006</v>
      </c>
      <c r="E20" s="59" t="n">
        <f aca="false">(SUMPRODUCT(DCF!$C$18:$G$18,1/(1+$B20)^DCF!$C$19:$G$19)+(DCF!$G$7+DCF!$G$10)*E$16/(1+$B20)^(DCF!$C$17+DCF!$D$17+DCF!$E$17+DCF!$F$17+DCF!$G$17)+(-Operating!$C$4+Operating!$C$5))/Inputs!$C$8</f>
        <v>231.445749321193</v>
      </c>
      <c r="F20" s="59" t="n">
        <f aca="false">(SUMPRODUCT(DCF!$C$18:$G$18,1/(1+$B20)^DCF!$C$19:$G$19)+(DCF!$G$7+DCF!$G$10)*F$16/(1+$B20)^(DCF!$C$17+DCF!$D$17+DCF!$E$17+DCF!$F$17+DCF!$G$17)+(-Operating!$C$4+Operating!$C$5))/Inputs!$C$8</f>
        <v>258.244304903381</v>
      </c>
      <c r="G20" s="59" t="n">
        <f aca="false">(SUMPRODUCT(DCF!$C$18:$G$18,1/(1+$B20)^DCF!$C$19:$G$19)+(DCF!$G$7+DCF!$G$10)*G$16/(1+$B20)^(DCF!$C$17+DCF!$D$17+DCF!$E$17+DCF!$F$17+DCF!$G$17)+(-Operating!$C$4+Operating!$C$5))/Inputs!$C$8</f>
        <v>285.042860485568</v>
      </c>
    </row>
    <row r="21" customFormat="false" ht="15" hidden="false" customHeight="false" outlineLevel="0" collapsed="false">
      <c r="B21" s="58" t="n">
        <v>0.095</v>
      </c>
      <c r="C21" s="59" t="n">
        <f aca="false">(SUMPRODUCT(DCF!$C$18:$G$18,1/(1+$B21)^DCF!$C$19:$G$19)+(DCF!$G$7+DCF!$G$10)*C$16/(1+$B21)^(DCF!$C$17+DCF!$D$17+DCF!$E$17+DCF!$F$17+DCF!$G$17)+(-Operating!$C$4+Operating!$C$5))/Inputs!$C$8</f>
        <v>174.954086875148</v>
      </c>
      <c r="D21" s="59" t="n">
        <f aca="false">(SUMPRODUCT(DCF!$C$18:$G$18,1/(1+$B21)^DCF!$C$19:$G$19)+(DCF!$G$7+DCF!$G$10)*D$16/(1+$B21)^(DCF!$C$17+DCF!$D$17+DCF!$E$17+DCF!$F$17+DCF!$G$17)+(-Operating!$C$4+Operating!$C$5))/Inputs!$C$8</f>
        <v>201.261496316349</v>
      </c>
      <c r="E21" s="59" t="n">
        <f aca="false">(SUMPRODUCT(DCF!$C$18:$G$18,1/(1+$B21)^DCF!$C$19:$G$19)+(DCF!$G$7+DCF!$G$10)*E$16/(1+$B21)^(DCF!$C$17+DCF!$D$17+DCF!$E$17+DCF!$F$17+DCF!$G$17)+(-Operating!$C$4+Operating!$C$5))/Inputs!$C$8</f>
        <v>227.568905757549</v>
      </c>
      <c r="F21" s="59" t="n">
        <f aca="false">(SUMPRODUCT(DCF!$C$18:$G$18,1/(1+$B21)^DCF!$C$19:$G$19)+(DCF!$G$7+DCF!$G$10)*F$16/(1+$B21)^(DCF!$C$17+DCF!$D$17+DCF!$E$17+DCF!$F$17+DCF!$G$17)+(-Operating!$C$4+Operating!$C$5))/Inputs!$C$8</f>
        <v>253.87631519875</v>
      </c>
      <c r="G21" s="59" t="n">
        <f aca="false">(SUMPRODUCT(DCF!$C$18:$G$18,1/(1+$B21)^DCF!$C$19:$G$19)+(DCF!$G$7+DCF!$G$10)*G$16/(1+$B21)^(DCF!$C$17+DCF!$D$17+DCF!$E$17+DCF!$F$17+DCF!$G$17)+(-Operating!$C$4+Operating!$C$5))/Inputs!$C$8</f>
        <v>280.183724639951</v>
      </c>
    </row>
    <row r="22" customFormat="false" ht="15" hidden="false" customHeight="false" outlineLevel="0" collapsed="false">
      <c r="B22" s="58" t="n">
        <v>0.1</v>
      </c>
      <c r="C22" s="59" t="n">
        <f aca="false">(SUMPRODUCT(DCF!$C$18:$G$18,1/(1+$B22)^DCF!$C$19:$G$19)+(DCF!$G$7+DCF!$G$10)*C$16/(1+$B22)^(DCF!$C$17+DCF!$D$17+DCF!$E$17+DCF!$F$17+DCF!$G$17)+(-Operating!$C$4+Operating!$C$5))/Inputs!$C$8</f>
        <v>172.123650442021</v>
      </c>
      <c r="D22" s="59" t="n">
        <f aca="false">(SUMPRODUCT(DCF!$C$18:$G$18,1/(1+$B22)^DCF!$C$19:$G$19)+(DCF!$G$7+DCF!$G$10)*D$16/(1+$B22)^(DCF!$C$17+DCF!$D$17+DCF!$E$17+DCF!$F$17+DCF!$G$17)+(-Operating!$C$4+Operating!$C$5))/Inputs!$C$8</f>
        <v>197.951091548526</v>
      </c>
      <c r="E22" s="59" t="n">
        <f aca="false">(SUMPRODUCT(DCF!$C$18:$G$18,1/(1+$B22)^DCF!$C$19:$G$19)+(DCF!$G$7+DCF!$G$10)*E$16/(1+$B22)^(DCF!$C$17+DCF!$D$17+DCF!$E$17+DCF!$F$17+DCF!$G$17)+(-Operating!$C$4+Operating!$C$5))/Inputs!$C$8</f>
        <v>223.778532655031</v>
      </c>
      <c r="F22" s="59" t="n">
        <f aca="false">(SUMPRODUCT(DCF!$C$18:$G$18,1/(1+$B22)^DCF!$C$19:$G$19)+(DCF!$G$7+DCF!$G$10)*F$16/(1+$B22)^(DCF!$C$17+DCF!$D$17+DCF!$E$17+DCF!$F$17+DCF!$G$17)+(-Operating!$C$4+Operating!$C$5))/Inputs!$C$8</f>
        <v>249.605973761536</v>
      </c>
      <c r="G22" s="59" t="n">
        <f aca="false">(SUMPRODUCT(DCF!$C$18:$G$18,1/(1+$B22)^DCF!$C$19:$G$19)+(DCF!$G$7+DCF!$G$10)*G$16/(1+$B22)^(DCF!$C$17+DCF!$D$17+DCF!$E$17+DCF!$F$17+DCF!$G$17)+(-Operating!$C$4+Operating!$C$5))/Inputs!$C$8</f>
        <v>275.433414868041</v>
      </c>
    </row>
    <row r="23" customFormat="false" ht="15" hidden="false" customHeight="false" outlineLevel="0" collapsed="false">
      <c r="B23" s="58" t="n">
        <v>0.105</v>
      </c>
      <c r="C23" s="59" t="n">
        <f aca="false">(SUMPRODUCT(DCF!$C$18:$G$18,1/(1+$B23)^DCF!$C$19:$G$19)+(DCF!$G$7+DCF!$G$10)*C$16/(1+$B23)^(DCF!$C$17+DCF!$D$17+DCF!$E$17+DCF!$F$17+DCF!$G$17)+(-Operating!$C$4+Operating!$C$5))/Inputs!$C$8</f>
        <v>169.355611780031</v>
      </c>
      <c r="D23" s="59" t="n">
        <f aca="false">(SUMPRODUCT(DCF!$C$18:$G$18,1/(1+$B23)^DCF!$C$19:$G$19)+(DCF!$G$7+DCF!$G$10)*D$16/(1+$B23)^(DCF!$C$17+DCF!$D$17+DCF!$E$17+DCF!$F$17+DCF!$G$17)+(-Operating!$C$4+Operating!$C$5))/Inputs!$C$8</f>
        <v>194.713958880426</v>
      </c>
      <c r="E23" s="59" t="n">
        <f aca="false">(SUMPRODUCT(DCF!$C$18:$G$18,1/(1+$B23)^DCF!$C$19:$G$19)+(DCF!$G$7+DCF!$G$10)*E$16/(1+$B23)^(DCF!$C$17+DCF!$D$17+DCF!$E$17+DCF!$F$17+DCF!$G$17)+(-Operating!$C$4+Operating!$C$5))/Inputs!$C$8</f>
        <v>220.07230598082</v>
      </c>
      <c r="F23" s="59" t="n">
        <f aca="false">(SUMPRODUCT(DCF!$C$18:$G$18,1/(1+$B23)^DCF!$C$19:$G$19)+(DCF!$G$7+DCF!$G$10)*F$16/(1+$B23)^(DCF!$C$17+DCF!$D$17+DCF!$E$17+DCF!$F$17+DCF!$G$17)+(-Operating!$C$4+Operating!$C$5))/Inputs!$C$8</f>
        <v>245.430653081214</v>
      </c>
      <c r="G23" s="59" t="n">
        <f aca="false">(SUMPRODUCT(DCF!$C$18:$G$18,1/(1+$B23)^DCF!$C$19:$G$19)+(DCF!$G$7+DCF!$G$10)*G$16/(1+$B23)^(DCF!$C$17+DCF!$D$17+DCF!$E$17+DCF!$F$17+DCF!$G$17)+(-Operating!$C$4+Operating!$C$5))/Inputs!$C$8</f>
        <v>270.789000181609</v>
      </c>
    </row>
    <row r="26" customFormat="false" ht="15.75" hidden="false" customHeight="true" outlineLevel="0" collapsed="false">
      <c r="B26" s="25" t="s">
        <v>185</v>
      </c>
      <c r="C26" s="1"/>
      <c r="D26" s="1"/>
      <c r="E26" s="1"/>
      <c r="F26" s="1"/>
      <c r="G26" s="1"/>
      <c r="H26" s="1"/>
      <c r="I26" s="1"/>
      <c r="J26" s="1"/>
    </row>
    <row r="27" customFormat="false" ht="15" hidden="false" customHeight="false" outlineLevel="0" collapsed="false">
      <c r="B27" s="20" t="s">
        <v>65</v>
      </c>
      <c r="C27" s="31" t="n">
        <f aca="false">Inputs!$C$7</f>
        <v>332.27</v>
      </c>
    </row>
    <row r="28" customFormat="false" ht="15" hidden="false" customHeight="false" outlineLevel="0" collapsed="false">
      <c r="B28" s="20" t="s">
        <v>186</v>
      </c>
      <c r="C28" s="27" t="n">
        <f aca="false">WACC!$C$37</f>
        <v>0.0991215197286124</v>
      </c>
    </row>
    <row r="29" customFormat="false" ht="15" hidden="false" customHeight="false" outlineLevel="0" collapsed="false">
      <c r="B29" s="20" t="s">
        <v>187</v>
      </c>
      <c r="C29" s="31" t="n">
        <f aca="false">DCF!C35</f>
        <v>132.589350269156</v>
      </c>
    </row>
    <row r="30" customFormat="false" ht="15" hidden="false" customHeight="false" outlineLevel="0" collapsed="false">
      <c r="B30" s="20" t="s">
        <v>188</v>
      </c>
      <c r="C30" s="31" t="n">
        <f aca="false">DCF!E35</f>
        <v>224.438327921568</v>
      </c>
    </row>
    <row r="31" customFormat="false" ht="15" hidden="false" customHeight="false" outlineLevel="0" collapsed="false">
      <c r="B31" s="20" t="s">
        <v>189</v>
      </c>
      <c r="C31" s="31" t="n">
        <f aca="false">AVERAGE(DCF!C35,DCF!E35)</f>
        <v>178.513839095362</v>
      </c>
    </row>
    <row r="32" customFormat="false" ht="15" hidden="false" customHeight="false" outlineLevel="0" collapsed="false">
      <c r="B32" s="20" t="s">
        <v>190</v>
      </c>
      <c r="C32" s="44" t="n">
        <f aca="false">C31/C27-1</f>
        <v>-0.462744638109483</v>
      </c>
    </row>
    <row r="34" customFormat="false" ht="30" hidden="false" customHeight="true" outlineLevel="0" collapsed="false">
      <c r="B34" s="19" t="s">
        <v>191</v>
      </c>
      <c r="C34" s="19"/>
      <c r="D34" s="19"/>
      <c r="E34" s="19"/>
      <c r="F34" s="19"/>
      <c r="G34" s="19"/>
      <c r="H34" s="19"/>
      <c r="I34" s="19"/>
      <c r="J34" s="19"/>
    </row>
  </sheetData>
  <mergeCells count="1">
    <mergeCell ref="B34:J34"/>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&amp;L&amp;"Arial,Bold"&amp;8Apple Inc. — DCF Valuation&amp;R&amp;"Arial,Regular"&amp;8Sensitivity</oddHeader>
    <oddFooter>&amp;L&amp;"Arial,Regular"&amp;8Jainam Mehta · github.com/jainammehta1215/ib-portfolio&amp;C&amp;"Arial,Regular"&amp;8Blue = input · Black = formula · Green = link&amp;R&amp;"Arial,Regular"&amp;8Page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60"/>
    <col collapsed="false" customWidth="true" hidden="false" outlineLevel="0" max="4" min="3" style="0" width="12"/>
  </cols>
  <sheetData>
    <row r="1" customFormat="false" ht="30" hidden="false" customHeight="true" outlineLevel="0" collapsed="false">
      <c r="A1" s="1"/>
      <c r="B1" s="21" t="s">
        <v>37</v>
      </c>
      <c r="C1" s="1"/>
      <c r="D1" s="22" t="s">
        <v>38</v>
      </c>
    </row>
    <row r="2" customFormat="false" ht="18" hidden="false" customHeight="true" outlineLevel="0" collapsed="false">
      <c r="A2" s="1"/>
      <c r="B2" s="23" t="s">
        <v>192</v>
      </c>
      <c r="C2" s="1"/>
      <c r="D2" s="1"/>
    </row>
    <row r="4" customFormat="false" ht="15" hidden="false" customHeight="false" outlineLevel="0" collapsed="false">
      <c r="B4" s="20" t="s">
        <v>193</v>
      </c>
      <c r="C4" s="61" t="b">
        <f aca="false">ROUND(DCF!C28-DCF!E28,6)=0</f>
        <v>1</v>
      </c>
    </row>
    <row r="5" customFormat="false" ht="15" hidden="false" customHeight="false" outlineLevel="0" collapsed="false">
      <c r="B5" s="20" t="s">
        <v>194</v>
      </c>
      <c r="C5" s="61" t="b">
        <f aca="false">WACC!$C$37&gt;Inputs!$C$13</f>
        <v>1</v>
      </c>
    </row>
    <row r="6" customFormat="false" ht="15" hidden="false" customHeight="false" outlineLevel="0" collapsed="false">
      <c r="B6" s="20" t="s">
        <v>195</v>
      </c>
      <c r="C6" s="61" t="b">
        <f aca="false">ROUND(DCF!E19-DCF!D19,6)=1</f>
        <v>1</v>
      </c>
    </row>
    <row r="7" customFormat="false" ht="15" hidden="false" customHeight="false" outlineLevel="0" collapsed="false">
      <c r="B7" s="20" t="s">
        <v>196</v>
      </c>
      <c r="C7" s="61" t="b">
        <f aca="false">ABS(DCF!C13/131.6-1)&lt;0.5</f>
        <v>1</v>
      </c>
    </row>
    <row r="8" customFormat="false" ht="15" hidden="false" customHeight="false" outlineLevel="0" collapsed="false">
      <c r="B8" s="20" t="s">
        <v>197</v>
      </c>
      <c r="C8" s="61" t="b">
        <f aca="false">AND(DCF!C39&gt;10,DCF!C39&lt;40)</f>
        <v>1</v>
      </c>
    </row>
    <row r="10" customFormat="false" ht="15.75" hidden="false" customHeight="true" outlineLevel="0" collapsed="false">
      <c r="B10" s="25" t="s">
        <v>198</v>
      </c>
      <c r="C10" s="62" t="str">
        <f aca="false">IF(COUNTIF(C4:C8,FALSE())=0,"MODEL OK","CHECK ERRORS")</f>
        <v>MODEL OK</v>
      </c>
      <c r="D10" s="1"/>
    </row>
  </sheetData>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&amp;L&amp;"Arial,Bold"&amp;8Apple Inc. — DCF Valuation&amp;R&amp;"Arial,Regular"&amp;8Checks</oddHeader>
    <oddFooter>&amp;L&amp;"Arial,Regular"&amp;8Jainam Mehta · github.com/jainammehta1215/ib-portfolio&amp;C&amp;"Arial,Regular"&amp;8Blue = input · Black = formula · Green = link&amp;R&amp;"Arial,Regular"&amp;8Page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2026-09-14T13:54:25Z</dcterms:created>
  <dc:creator>openpyxl</dc:creator>
  <dc:description/>
  <dc:language>en-US</dc:language>
  <cp:lastModifiedBy/>
  <dcterms:modified xsi:type="dcterms:W3CDTF">2026-09-14T13:54:32Z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