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puts" sheetId="2" state="visible" r:id="rId4"/>
    <sheet name="Peers" sheetId="3" state="visible" r:id="rId5"/>
    <sheet name="SOTP" sheetId="4" state="visible" r:id="rId6"/>
    <sheet name="Market-Implied" sheetId="5" state="visible" r:id="rId7"/>
    <sheet name="Sensitivity" sheetId="6" state="visible" r:id="rId8"/>
    <sheet name="Summary" sheetId="7" state="visible" r:id="rId9"/>
    <sheet name="Checks" sheetId="8" state="visible" r:id="rId10"/>
  </sheets>
  <definedNames>
    <definedName function="false" hidden="false" localSheetId="7" name="_xlnm.Print_Area" vbProcedure="false">Checks!$A$1:$E$24</definedName>
    <definedName function="false" hidden="false" localSheetId="0" name="_xlnm.Print_Area" vbProcedure="false">Cover!$A$1:$F$45</definedName>
    <definedName function="false" hidden="false" localSheetId="1" name="_xlnm.Print_Area" vbProcedure="false">Inputs!$A$1:$I$30</definedName>
    <definedName function="false" hidden="false" localSheetId="4" name="_xlnm.Print_Area" vbProcedure="false">'Market-Implied'!$A$1:$F$22</definedName>
    <definedName function="false" hidden="false" localSheetId="2" name="_xlnm.Print_Area" vbProcedure="false">Peers!$A$1:$G$67</definedName>
    <definedName function="false" hidden="false" localSheetId="5" name="_xlnm.Print_Area" vbProcedure="false">Sensitivity!$A$1:$H$23</definedName>
    <definedName function="false" hidden="false" localSheetId="3" name="_xlnm.Print_Area" vbProcedure="false">SOTP!$A$1:$I$29</definedName>
    <definedName function="false" hidden="false" localSheetId="6" name="_xlnm.Print_Area" vbProcedure="false">Summary!$A$1:$F$30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<sst xmlns="http://schemas.openxmlformats.org/spreadsheetml/2006/main" count="322" uniqueCount="246">
  <si>
    <t xml:space="preserve">IB PORTFOLIO · PROJECT 10 OF 20</t>
  </si>
  <si>
    <t xml:space="preserve">Reliance Industries</t>
  </si>
  <si>
    <t xml:space="preserve">Sum-of-the-Parts Valuation</t>
  </si>
  <si>
    <t xml:space="preserve">NSE: RELIANCE   ·   ₹ crore · per-share values in ₹   ·   as of FY2026 audited segment results · market data 18 Sep 2026</t>
  </si>
  <si>
    <t xml:space="preserve">What this is</t>
  </si>
  <si>
    <t xml:space="preserve">A sum-of-the-parts valuation of Reliance Industries on the audited FY2026 segment results and 18 September 2026 market data. Each of the five reported segments is valued on its own peer group, RIL's economic share is taken, consolidated net debt and a holding-company discount are deducted, and the bridge is then run backwards to show the multiple the market is paying for Jio Platforms ahead of its listing.</t>
  </si>
  <si>
    <t xml:space="preserve">How it is built</t>
  </si>
  <si>
    <t xml:space="preserve">•  Segment EBITDA from the audited Ind AS 108 segment note; ownership stakes in Jio Platforms and Reliance Retail Ventures from the annual report.</t>
  </si>
  <si>
    <t xml:space="preserve">•  Peer multiples read from public market data with each exclusion stated and reasoned; the selected multiple is shown against the peer median so the judgement is visible.</t>
  </si>
  <si>
    <t xml:space="preserve">•  Net debt on the same adjusted basis as Project 8, so the two workbooks agree to the rupee.</t>
  </si>
  <si>
    <t xml:space="preserve">•  A market-implied solve for the Jio and Retail multiples, two sensitivity grids and a low–high range.</t>
  </si>
  <si>
    <t xml:space="preserve">Contents</t>
  </si>
  <si>
    <t xml:space="preserve">Summary  —  the parts, the bridge, the per-share value and the market-implied Jio multiple</t>
  </si>
  <si>
    <t xml:space="preserve">SOTP  —  segment EVs, RIL share, net debt, discount, per-share</t>
  </si>
  <si>
    <t xml:space="preserve">Peers  —  peer multiples by segment with medians and exclusions</t>
  </si>
  <si>
    <t xml:space="preserve">Market-Implied  —  the Jio and Retail multiples the share price implies</t>
  </si>
  <si>
    <t xml:space="preserve">Sensitivity  —  Jio versus Retail multiple, Jio versus discount, low–high range</t>
  </si>
  <si>
    <t xml:space="preserve">Inputs  —  segment EBITDA, stakes, selected multiples, group items, market data</t>
  </si>
  <si>
    <t xml:space="preserve">Checks  —  sixteen tests; must read MODEL OK</t>
  </si>
  <si>
    <t xml:space="preserve">Key outputs (live)</t>
  </si>
  <si>
    <t xml:space="preserve">Gross asset value (₹ crore)</t>
  </si>
  <si>
    <t xml:space="preserve">SOTP value per share (₹)</t>
  </si>
  <si>
    <t xml:space="preserve">Share price (₹)</t>
  </si>
  <si>
    <t xml:space="preserve">Upside / (downside)</t>
  </si>
  <si>
    <t xml:space="preserve">Market-implied Jio EV / EBITDA</t>
  </si>
  <si>
    <t xml:space="preserve">Market-implied Jio EV (US$ bn)</t>
  </si>
  <si>
    <t xml:space="preserve">Colour code</t>
  </si>
  <si>
    <t xml:space="preserve">Blue = hard-coded input</t>
  </si>
  <si>
    <t xml:space="preserve">Black = formula</t>
  </si>
  <si>
    <t xml:space="preserve">Green = link to another sheet</t>
  </si>
  <si>
    <t xml:space="preserve">Accent fill = scenario selector / key levers</t>
  </si>
  <si>
    <t xml:space="preserve">Sources</t>
  </si>
  <si>
    <t xml:space="preserve">Reliance Industries Limited, audited consolidated segment information for the year ended 31 March 2026 (media release, 24 April 2026).</t>
  </si>
  <si>
    <t xml:space="preserve">Ownership stakes in Jio Platforms (67.03%) and Reliance Retail Ventures (85.06%): Reliance Industries annual report.</t>
  </si>
  <si>
    <t xml:space="preserve">Peer EV / EBITDA multiples: Yahoo Finance, 18 September 2026, as listed on the Peers sheet.</t>
  </si>
  <si>
    <t xml:space="preserve">Share price: NSE close, 18 September 2026. Holding-company discount is a stated input.</t>
  </si>
  <si>
    <t xml:space="preserve">Nothing here is a recommendation. The valuation is an analytical exercise on public information.</t>
  </si>
  <si>
    <t xml:space="preserve">Prepared by</t>
  </si>
  <si>
    <t xml:space="preserve">Jainam Mehta · github.com/jainammehta1215/ib-portfolio</t>
  </si>
  <si>
    <t xml:space="preserve">Reliance Industries — Sum-of-the-Parts Valuation</t>
  </si>
  <si>
    <t xml:space="preserve">RELIANCE INDUSTRIES</t>
  </si>
  <si>
    <t xml:space="preserve">Segment EBITDA, ownership, selected multiples and group-level items</t>
  </si>
  <si>
    <t xml:space="preserve">SEGMENT EBITDA AND OWNERSHIP (₹ crore, FY2026 audited segment information)</t>
  </si>
  <si>
    <t xml:space="preserve">Segment</t>
  </si>
  <si>
    <t xml:space="preserve">FY2025A</t>
  </si>
  <si>
    <t xml:space="preserve">FY2026A</t>
  </si>
  <si>
    <t xml:space="preserve">Growth</t>
  </si>
  <si>
    <t xml:space="preserve">RIL stake</t>
  </si>
  <si>
    <t xml:space="preserve">Multiple</t>
  </si>
  <si>
    <t xml:space="preserve">Low</t>
  </si>
  <si>
    <t xml:space="preserve">High</t>
  </si>
  <si>
    <t xml:space="preserve">Digital Services (Jio Platforms)</t>
  </si>
  <si>
    <t xml:space="preserve">Retail (Reliance Retail Ventures)</t>
  </si>
  <si>
    <t xml:space="preserve">Oil to Chemicals</t>
  </si>
  <si>
    <t xml:space="preserve">Oil and Gas (E&amp;P)</t>
  </si>
  <si>
    <t xml:space="preserve">Others (media, consumer brands, new energy)</t>
  </si>
  <si>
    <t xml:space="preserve">Total segment EBITDA</t>
  </si>
  <si>
    <t xml:space="preserve">RIL stake in Jio Platforms is 67.03% after the 2020 investments by Meta, Google, Vista, KKR, PIF and others; in Reliance Retail Ventures it is 85.06% after the 2020 and 2023 rounds. Stakes are stated inputs from the annual report. Multiples are selected on the Peers sheet.</t>
  </si>
  <si>
    <t xml:space="preserve">GROUP-LEVEL ITEMS (₹ crore)</t>
  </si>
  <si>
    <t xml:space="preserve">Consolidated EBITDA, as reported</t>
  </si>
  <si>
    <t xml:space="preserve">Exceeds the segment total by unallocated interest income and the one-off disposal gain; segments are valued, the rest is not</t>
  </si>
  <si>
    <t xml:space="preserve">Outstanding debt (company definition)</t>
  </si>
  <si>
    <t xml:space="preserve">Cash and cash equivalents (company definition)</t>
  </si>
  <si>
    <t xml:space="preserve">Lease liabilities</t>
  </si>
  <si>
    <t xml:space="preserve">Deferred spectrum liabilities</t>
  </si>
  <si>
    <t xml:space="preserve">Sits in Jio economically; deducted at group level here, see the SOTP note</t>
  </si>
  <si>
    <t xml:space="preserve">Adjusted net debt (consistent with Project 8)</t>
  </si>
  <si>
    <t xml:space="preserve">Non-controlling interests at book (memo, not deducted)</t>
  </si>
  <si>
    <t xml:space="preserve">Minorities are handled through the stake percentages, so deducting book NCI as well would double count</t>
  </si>
  <si>
    <t xml:space="preserve">Holding-company discount</t>
  </si>
  <si>
    <t xml:space="preserve">Indian conglomerates typically trade at 10–25% below the sum of their parts; 10% reflects that Jio and Retail are consolidated, not associates</t>
  </si>
  <si>
    <t xml:space="preserve">MARKET DATA</t>
  </si>
  <si>
    <t xml:space="preserve">Share price (₹, NSE close 18 Sep 2026)</t>
  </si>
  <si>
    <t xml:space="preserve">Shares outstanding (crore)</t>
  </si>
  <si>
    <t xml:space="preserve">Market capitalisation</t>
  </si>
  <si>
    <t xml:space="preserve">Diluted EPS, FY2026 (₹)</t>
  </si>
  <si>
    <t xml:space="preserve">52-week low (₹)</t>
  </si>
  <si>
    <t xml:space="preserve">52-week high (₹)</t>
  </si>
  <si>
    <t xml:space="preserve">Trailing EV / EBITDA by segment peer group, 18 September 2026, with exclusions stated</t>
  </si>
  <si>
    <t xml:space="preserve">DIGITAL SERVICES (JIO PLATFORMS)</t>
  </si>
  <si>
    <t xml:space="preserve">Ticker</t>
  </si>
  <si>
    <t xml:space="preserve">Company</t>
  </si>
  <si>
    <t xml:space="preserve">EV / EBITDA</t>
  </si>
  <si>
    <t xml:space="preserve">Included</t>
  </si>
  <si>
    <t xml:space="preserve">If included</t>
  </si>
  <si>
    <t xml:space="preserve">Note</t>
  </si>
  <si>
    <t xml:space="preserve">BHARTIARTL.NS</t>
  </si>
  <si>
    <t xml:space="preserve">Bharti Airtel</t>
  </si>
  <si>
    <t xml:space="preserve">Direct Indian peer, the anchor</t>
  </si>
  <si>
    <t xml:space="preserve">SCMN.SW</t>
  </si>
  <si>
    <t xml:space="preserve">Swisscom</t>
  </si>
  <si>
    <t xml:space="preserve">T</t>
  </si>
  <si>
    <t xml:space="preserve">AT&amp;T</t>
  </si>
  <si>
    <t xml:space="preserve">VZ</t>
  </si>
  <si>
    <t xml:space="preserve">Verizon</t>
  </si>
  <si>
    <t xml:space="preserve">IDEA.NS</t>
  </si>
  <si>
    <t xml:space="preserve">Vodafone Idea</t>
  </si>
  <si>
    <t xml:space="preserve">Distressed balance sheet; multiple is not a valuation signal</t>
  </si>
  <si>
    <t xml:space="preserve">Z74.SI</t>
  </si>
  <si>
    <t xml:space="preserve">Singtel</t>
  </si>
  <si>
    <t xml:space="preserve">EBITDA excludes large associate earnings; multiple overstated</t>
  </si>
  <si>
    <t xml:space="preserve">Median of included peers</t>
  </si>
  <si>
    <t xml:space="preserve">Mean of included peers</t>
  </si>
  <si>
    <t xml:space="preserve">Selected multiple for the segment</t>
  </si>
  <si>
    <t xml:space="preserve">Selected versus median</t>
  </si>
  <si>
    <t xml:space="preserve">RETAIL (RELIANCE RETAIL VENTURES)</t>
  </si>
  <si>
    <t xml:space="preserve">DMART.NS</t>
  </si>
  <si>
    <t xml:space="preserve">Avenue Supermarts</t>
  </si>
  <si>
    <t xml:space="preserve">Indian grocery leader</t>
  </si>
  <si>
    <t xml:space="preserve">TRENT.NS</t>
  </si>
  <si>
    <t xml:space="preserve">Trent</t>
  </si>
  <si>
    <t xml:space="preserve">Indian fashion retail</t>
  </si>
  <si>
    <t xml:space="preserve">WMT</t>
  </si>
  <si>
    <t xml:space="preserve">Walmart</t>
  </si>
  <si>
    <t xml:space="preserve">COST</t>
  </si>
  <si>
    <t xml:space="preserve">Costco</t>
  </si>
  <si>
    <t xml:space="preserve">TGT</t>
  </si>
  <si>
    <t xml:space="preserve">Target</t>
  </si>
  <si>
    <t xml:space="preserve">OIL TO CHEMICALS</t>
  </si>
  <si>
    <t xml:space="preserve">BPCL.NS</t>
  </si>
  <si>
    <t xml:space="preserve">Bharat Petroleum</t>
  </si>
  <si>
    <t xml:space="preserve">Indian refiner-marketer</t>
  </si>
  <si>
    <t xml:space="preserve">IOC.NS</t>
  </si>
  <si>
    <t xml:space="preserve">Indian Oil</t>
  </si>
  <si>
    <t xml:space="preserve">VLO</t>
  </si>
  <si>
    <t xml:space="preserve">Valero</t>
  </si>
  <si>
    <t xml:space="preserve">MPC</t>
  </si>
  <si>
    <t xml:space="preserve">Marathon Petroleum</t>
  </si>
  <si>
    <t xml:space="preserve">LYB</t>
  </si>
  <si>
    <t xml:space="preserve">LyondellBasell</t>
  </si>
  <si>
    <t xml:space="preserve">Petrochemicals</t>
  </si>
  <si>
    <t xml:space="preserve">DOW</t>
  </si>
  <si>
    <t xml:space="preserve">Dow</t>
  </si>
  <si>
    <t xml:space="preserve">HINDPETRO.NS</t>
  </si>
  <si>
    <t xml:space="preserve">Hindustan Petroleum</t>
  </si>
  <si>
    <t xml:space="preserve">Trailing EBITDA depressed by LPG under-recoveries; multiple not meaningful</t>
  </si>
  <si>
    <t xml:space="preserve">OIL AND GAS (E&amp;P)</t>
  </si>
  <si>
    <t xml:space="preserve">ONGC.NS</t>
  </si>
  <si>
    <t xml:space="preserve">ONGC</t>
  </si>
  <si>
    <t xml:space="preserve">Indian upstream, the anchor</t>
  </si>
  <si>
    <t xml:space="preserve">OIL.NS</t>
  </si>
  <si>
    <t xml:space="preserve">Oil India</t>
  </si>
  <si>
    <t xml:space="preserve">XOM</t>
  </si>
  <si>
    <t xml:space="preserve">ExxonMobil</t>
  </si>
  <si>
    <t xml:space="preserve">CVX</t>
  </si>
  <si>
    <t xml:space="preserve">Chevron</t>
  </si>
  <si>
    <t xml:space="preserve">BP</t>
  </si>
  <si>
    <t xml:space="preserve">WDS.AX</t>
  </si>
  <si>
    <t xml:space="preserve">Woodside</t>
  </si>
  <si>
    <t xml:space="preserve">OTHERS (MEDIA, CONSUMER BRANDS, NEW ENERGY)</t>
  </si>
  <si>
    <t xml:space="preserve">DIS</t>
  </si>
  <si>
    <t xml:space="preserve">Walt Disney</t>
  </si>
  <si>
    <t xml:space="preserve">Media</t>
  </si>
  <si>
    <t xml:space="preserve">NFLX</t>
  </si>
  <si>
    <t xml:space="preserve">Netflix</t>
  </si>
  <si>
    <t xml:space="preserve">Streaming</t>
  </si>
  <si>
    <t xml:space="preserve">ZEEL.NS</t>
  </si>
  <si>
    <t xml:space="preserve">Zee Entertainment</t>
  </si>
  <si>
    <t xml:space="preserve">Indian media</t>
  </si>
  <si>
    <t xml:space="preserve">SUNTV.NS</t>
  </si>
  <si>
    <t xml:space="preserve">Sun TV</t>
  </si>
  <si>
    <t xml:space="preserve">Multiples are trailing enterprise value to EBITDA as published by Yahoo Finance on 18 September 2026 and are stated inputs; an exclusion is made only where the trailing figure is not a valuation signal and the reason is written next to it. Selected multiples sit below the peer medians for Retail (lower margins, hyper-local investment) and O2C (Indian marketing discount, weak chemical deltas), and slightly above for Digital (19% EBITDA growth against Bharti's mid-teens, with Bharti as the anchor).</t>
  </si>
  <si>
    <t xml:space="preserve">Segment enterprise values, RIL's share, net debt, discount and value per share</t>
  </si>
  <si>
    <t xml:space="preserve">SEGMENT VALUES (₹ crore)</t>
  </si>
  <si>
    <t xml:space="preserve">EBITDA FY26</t>
  </si>
  <si>
    <t xml:space="preserve">Segment EV</t>
  </si>
  <si>
    <t xml:space="preserve">RIL share of EV</t>
  </si>
  <si>
    <t xml:space="preserve">% of gross</t>
  </si>
  <si>
    <t xml:space="preserve">Per share (₹)</t>
  </si>
  <si>
    <t xml:space="preserve">Gross asset value (RIL share)</t>
  </si>
  <si>
    <t xml:space="preserve">FROM GROSS ASSET VALUE TO EQUITY VALUE</t>
  </si>
  <si>
    <t xml:space="preserve">Less: adjusted net debt</t>
  </si>
  <si>
    <t xml:space="preserve">Net asset value before discount</t>
  </si>
  <si>
    <t xml:space="preserve">Less: holding-company discount</t>
  </si>
  <si>
    <t xml:space="preserve">Equity value</t>
  </si>
  <si>
    <t xml:space="preserve">PER SHARE</t>
  </si>
  <si>
    <t xml:space="preserve">Gross asset value per share (₹)</t>
  </si>
  <si>
    <t xml:space="preserve">NAV per share before discount (₹)</t>
  </si>
  <si>
    <t xml:space="preserve">Upside / (downside) to the SOTP value</t>
  </si>
  <si>
    <t xml:space="preserve">Implied group EV / segment EBITDA at the SOTP value</t>
  </si>
  <si>
    <t xml:space="preserve">Market EV / segment EBITDA today</t>
  </si>
  <si>
    <t xml:space="preserve">Implied P/E at the SOTP value</t>
  </si>
  <si>
    <t xml:space="preserve">Net debt is deducted at group level in full although roughly a third of the spectrum liabilities belong economically to Jio's minority shareholders. The alternative — deducting Jio's own net debt inside the segment before applying the stake — needs Jio's balance sheet, which the results release does not give. The simplification understates value by roughly ₹25 per share and is left in because it errs the right way.</t>
  </si>
  <si>
    <t xml:space="preserve">Run backwards: what is the market paying for Jio Platforms today?</t>
  </si>
  <si>
    <t xml:space="preserve">SOLVE FOR THE JIO MULTIPLE THE SHARE PRICE IMPLIES</t>
  </si>
  <si>
    <t xml:space="preserve">Equity value before discount the market implies (market cap / (1 − discount))</t>
  </si>
  <si>
    <t xml:space="preserve">Gross asset value the market implies</t>
  </si>
  <si>
    <t xml:space="preserve">Less: RIL's share of the other four segments at base multiples</t>
  </si>
  <si>
    <t xml:space="preserve">RIL's share of Jio Platforms EV the market implies</t>
  </si>
  <si>
    <t xml:space="preserve">Jio Platforms EV at 100%</t>
  </si>
  <si>
    <t xml:space="preserve">Premium to the telecom peer median</t>
  </si>
  <si>
    <t xml:space="preserve">Premium to Bharti Airtel's multiple</t>
  </si>
  <si>
    <t xml:space="preserve">Bharti is the direct listed comparable and the anchor a Jio IPO will be priced against</t>
  </si>
  <si>
    <t xml:space="preserve">Market-implied Jio Platforms EV in US$ billion at ₹83.5</t>
  </si>
  <si>
    <t xml:space="preserve">THE SAME SOLVE FOR RETAIL</t>
  </si>
  <si>
    <t xml:space="preserve">RIL's share of Retail EV the market implies (Jio at base)</t>
  </si>
  <si>
    <t xml:space="preserve">Retail EV at 100%</t>
  </si>
  <si>
    <t xml:space="preserve">Market-implied Retail EV / EBITDA</t>
  </si>
  <si>
    <t xml:space="preserve">Market-implied Retail EV in US$ billion</t>
  </si>
  <si>
    <t xml:space="preserve">The 2023 private round valued Reliance Retail Ventures at roughly US$100 billion</t>
  </si>
  <si>
    <t xml:space="preserve">Only one segment can be solved for at a time; each solve holds the other four at their base multiples. The Jio solve is the useful one because Jio is about to be priced by a public market, and the gap between this number and the eventual listing multiple is the size of the re-rating the sell-side is arguing about.</t>
  </si>
  <si>
    <t xml:space="preserve">SOTP value per share (₹) — every cell rebuilds the full bridge</t>
  </si>
  <si>
    <t xml:space="preserve">JIO MULTIPLE (rows) versus RETAIL MULTIPLE (columns), discount at base</t>
  </si>
  <si>
    <t xml:space="preserve">↓ rows  \  columns →</t>
  </si>
  <si>
    <t xml:space="preserve">JIO MULTIPLE (rows) versus HOLDING-COMPANY DISCOUNT (columns), Retail at base</t>
  </si>
  <si>
    <t xml:space="preserve">LOW / BASE / HIGH ON EVERY SEGMENT AT ONCE</t>
  </si>
  <si>
    <t xml:space="preserve">All segments at the low multiple (₹ per share)</t>
  </si>
  <si>
    <t xml:space="preserve">All segments at the high multiple (₹ per share)</t>
  </si>
  <si>
    <t xml:space="preserve">All segments at the base multiple (₹ per share)</t>
  </si>
  <si>
    <t xml:space="preserve">The sum of the parts on one page</t>
  </si>
  <si>
    <t xml:space="preserve">THE PARTS</t>
  </si>
  <si>
    <t xml:space="preserve">Digital Services (Jio Platforms) — RIL share (₹ crore)</t>
  </si>
  <si>
    <t xml:space="preserve">Retail (Reliance Retail Ventures) — RIL share (₹ crore)</t>
  </si>
  <si>
    <t xml:space="preserve">Oil to Chemicals — RIL share (₹ crore)</t>
  </si>
  <si>
    <t xml:space="preserve">Oil and Gas (E&amp;P) — RIL share (₹ crore)</t>
  </si>
  <si>
    <t xml:space="preserve">Others (media, consumer brands, new energy) — RIL share (₹ crore)</t>
  </si>
  <si>
    <t xml:space="preserve">Equity value (₹ crore)</t>
  </si>
  <si>
    <t xml:space="preserve">Range, all segments low to high (₹)</t>
  </si>
  <si>
    <t xml:space="preserve">WHAT THE MARKET IS PAYING FOR JIO</t>
  </si>
  <si>
    <t xml:space="preserve">Market-implied Jio EV (US$ billion)</t>
  </si>
  <si>
    <t xml:space="preserve">Selected Jio multiple in the SOTP</t>
  </si>
  <si>
    <t xml:space="preserve">Premium to Bharti Airtel implied by the price</t>
  </si>
  <si>
    <t xml:space="preserve">•  Jio and Retail together are roughly two-thirds of gross asset value; the energy businesses that generate over 40% of EBITDA are worth well under a third of it. That is the whole investment case for the group's last decade in one line.</t>
  </si>
  <si>
    <t xml:space="preserve">•  At peer multiples the SOTP sits below the share price, not above it. Run backwards, the price is consistent with Jio Platforms at roughly 17x EBITDA — a premium of about half to Bharti Airtel — or, equivalently, with Retail near 40x. The market has already priced a Jio listing at a premium; the IPO is the event that tests whether it is right.</t>
  </si>
  <si>
    <t xml:space="preserve">•  The holding-company discount is the single largest judgement after the Jio multiple. Each five points is worth about ₹90 per share, which is the second sensitivity grid.</t>
  </si>
  <si>
    <t xml:space="preserve">•  The energy segments are valued on peer multiples rather than through the cycle. O2C EBITDA in FY2026 was helped by strong middle-distillate cracks; a mid-cycle number would take ₹30–40 per share off the total.</t>
  </si>
  <si>
    <t xml:space="preserve">Every check must read TRUE</t>
  </si>
  <si>
    <t xml:space="preserve">INTEGRITY CHECKS</t>
  </si>
  <si>
    <t xml:space="preserve">Segment EBITDA total ties to the published ₹194,047 crore</t>
  </si>
  <si>
    <t xml:space="preserve">FY2025 segment total ties to the published ₹174,797 crore</t>
  </si>
  <si>
    <t xml:space="preserve">Segment EBITDA is below reported consolidated EBITDA (unallocated items excluded)</t>
  </si>
  <si>
    <t xml:space="preserve">Adjusted net debt matches Project 8</t>
  </si>
  <si>
    <t xml:space="preserve">Every stake is between 50% and 100%</t>
  </si>
  <si>
    <t xml:space="preserve">Every base multiple lies within its low–high range</t>
  </si>
  <si>
    <t xml:space="preserve">Segment shares of gross value sum to 100%</t>
  </si>
  <si>
    <t xml:space="preserve">Equity value equals NAV less discount</t>
  </si>
  <si>
    <t xml:space="preserve">Per-share value reconciles to equity value over shares</t>
  </si>
  <si>
    <t xml:space="preserve">Base sensitivity cell reconciles to the SOTP sheet</t>
  </si>
  <si>
    <t xml:space="preserve">Low case is below base and base is below high</t>
  </si>
  <si>
    <t xml:space="preserve">Market-implied Jio multiple reproduces the share price when substituted</t>
  </si>
  <si>
    <t xml:space="preserve">Every peer median evaluates to a number</t>
  </si>
  <si>
    <t xml:space="preserve">Every selected multiple lies within 50% of its peer median</t>
  </si>
  <si>
    <t xml:space="preserve">The Bharti Airtel reference cell on the Peers sheet is Bharti</t>
  </si>
  <si>
    <t xml:space="preserve">Share price lies within the 52-week range</t>
  </si>
  <si>
    <t xml:space="preserve">MODEL STATUS</t>
  </si>
  <si>
    <t xml:space="preserve">The twelfth check is the important one: it substitutes the market-implied Jio multiple back into the full bridge and demands the share price come out, which proves the reverse solve is the exact inverse of the forward model.</t>
  </si>
</sst>
</file>

<file path=xl/styles.xml><?xml version="1.0" encoding="utf-8"?>
<styleSheet xmlns="http://schemas.openxmlformats.org/spreadsheetml/2006/main">
  <numFmts count="9">
    <numFmt numFmtId="164" formatCode="General"/>
    <numFmt numFmtId="165" formatCode="#,##0;\(#,##0\);\-"/>
    <numFmt numFmtId="166" formatCode="#,##0.00;\(#,##0.00\);\-"/>
    <numFmt numFmtId="167" formatCode="0.0%;\(0.0%\);\-"/>
    <numFmt numFmtId="168" formatCode="0.0\x"/>
    <numFmt numFmtId="169" formatCode="#,##0.0;\(#,##0.0\);\-"/>
    <numFmt numFmtId="170" formatCode="&quot;Yes&quot;;;&quot;No&quot;"/>
    <numFmt numFmtId="171" formatCode="@"/>
    <numFmt numFmtId="172" formatCode="General"/>
  </numFmts>
  <fonts count="21">
    <font>
      <sz val="11"/>
      <color theme="1"/>
      <name val="Calibri"/>
      <family val="2"/>
      <charset val="1"/>
    </font>
    <font>
      <sz val="10"/>
      <name val="Arial"/>
      <family val="0"/>
    </font>
    <font>
      <sz val="10"/>
      <name val="Arial"/>
      <family val="0"/>
    </font>
    <font>
      <sz val="10"/>
      <name val="Arial"/>
      <family val="0"/>
    </font>
    <font>
      <b val="true"/>
      <sz val="9"/>
      <color rgb="FFE4002B"/>
      <name val="Arial"/>
      <family val="0"/>
      <charset val="1"/>
    </font>
    <font>
      <b val="true"/>
      <sz val="24"/>
      <color rgb="FF0A2E8A"/>
      <name val="Arial"/>
      <family val="0"/>
      <charset val="1"/>
    </font>
    <font>
      <sz val="15"/>
      <color rgb="FF5A6A8A"/>
      <name val="Arial"/>
      <family val="0"/>
      <charset val="1"/>
    </font>
    <font>
      <i val="true"/>
      <sz val="9"/>
      <color rgb="FF7F7F7F"/>
      <name val="Arial"/>
      <family val="0"/>
      <charset val="1"/>
    </font>
    <font>
      <b val="true"/>
      <sz val="10"/>
      <color rgb="FF0A2E8A"/>
      <name val="Arial"/>
      <family val="0"/>
      <charset val="1"/>
    </font>
    <font>
      <sz val="10"/>
      <name val="Arial"/>
      <family val="0"/>
      <charset val="1"/>
    </font>
    <font>
      <sz val="10"/>
      <color rgb="FF0000FF"/>
      <name val="Arial"/>
      <family val="0"/>
      <charset val="1"/>
    </font>
    <font>
      <sz val="10"/>
      <color rgb="FF008000"/>
      <name val="Arial"/>
      <family val="0"/>
      <charset val="1"/>
    </font>
    <font>
      <sz val="10"/>
      <color rgb="FF0000FF"/>
      <name val="Arial"/>
      <family val="0"/>
      <charset val="1"/>
    </font>
    <font>
      <sz val="10"/>
      <color rgb="FF000000"/>
      <name val="Arial"/>
      <family val="0"/>
      <charset val="1"/>
    </font>
    <font>
      <b val="true"/>
      <sz val="16"/>
      <color rgb="FFFFFFFF"/>
      <name val="Arial"/>
      <family val="0"/>
      <charset val="1"/>
    </font>
    <font>
      <b val="true"/>
      <sz val="9"/>
      <color rgb="FFFFFFFF"/>
      <name val="Arial"/>
      <family val="0"/>
      <charset val="1"/>
    </font>
    <font>
      <sz val="10"/>
      <color rgb="FFFFFFFF"/>
      <name val="Arial"/>
      <family val="0"/>
      <charset val="1"/>
    </font>
    <font>
      <b val="true"/>
      <sz val="10"/>
      <color rgb="FFFFFFFF"/>
      <name val="Arial"/>
      <family val="0"/>
      <charset val="1"/>
    </font>
    <font>
      <b val="true"/>
      <sz val="10"/>
      <name val="Arial"/>
      <family val="0"/>
      <charset val="1"/>
    </font>
    <font>
      <b val="true"/>
      <sz val="12"/>
      <color rgb="FF0A2E8A"/>
      <name val="Arial"/>
      <family val="0"/>
      <charset val="1"/>
    </font>
    <font>
      <b val="true"/>
      <sz val="12"/>
      <name val="Arial"/>
      <family val="0"/>
      <charset val="1"/>
    </font>
  </fonts>
  <fills count="6">
    <fill>
      <patternFill patternType="none"/>
    </fill>
    <fill>
      <patternFill patternType="gray125"/>
    </fill>
    <fill>
      <patternFill patternType="solid">
        <fgColor rgb="FF0A2E8A"/>
        <bgColor rgb="FF333399"/>
      </patternFill>
    </fill>
    <fill>
      <patternFill patternType="solid">
        <fgColor rgb="FFE4002B"/>
        <bgColor rgb="FF800000"/>
      </patternFill>
    </fill>
    <fill>
      <patternFill patternType="solid">
        <fgColor rgb="FFEDF1FA"/>
        <bgColor rgb="FFFFFFFF"/>
      </patternFill>
    </fill>
    <fill>
      <patternFill patternType="solid">
        <fgColor rgb="FF5A6A8A"/>
        <bgColor rgb="FF7F7F7F"/>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7" fontId="11" fillId="4" borderId="0" xfId="0" applyFont="true" applyBorder="false" applyAlignment="true" applyProtection="false">
      <alignment horizontal="right" vertical="bottom" textRotation="0" wrapText="false" indent="0" shrinkToFit="false"/>
      <protection locked="true" hidden="false"/>
    </xf>
    <xf numFmtId="168" fontId="11" fillId="4" borderId="0" xfId="0" applyFont="true" applyBorder="false" applyAlignment="true" applyProtection="false">
      <alignment horizontal="right" vertical="bottom" textRotation="0" wrapText="false" indent="0" shrinkToFit="false"/>
      <protection locked="true" hidden="false"/>
    </xf>
    <xf numFmtId="169" fontId="11" fillId="4"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center" vertical="center"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true" applyProtection="false">
      <alignment horizontal="center"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5" fontId="13" fillId="0" borderId="2" xfId="0" applyFont="true" applyBorder="true" applyAlignment="false" applyProtection="false">
      <alignment horizontal="general" vertical="bottom" textRotation="0" wrapText="false" indent="0" shrinkToFit="false"/>
      <protection locked="true" hidden="false"/>
    </xf>
    <xf numFmtId="166" fontId="13" fillId="0" borderId="2" xfId="0" applyFont="true" applyBorder="tru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13" fillId="0" borderId="2" xfId="0" applyFont="true" applyBorder="tru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8" fontId="17" fillId="5" borderId="0" xfId="0" applyFont="true" applyBorder="false" applyAlignment="true" applyProtection="false">
      <alignment horizontal="center" vertical="bottom" textRotation="0" wrapText="false" indent="0" shrinkToFit="false"/>
      <protection locked="true" hidden="false"/>
    </xf>
    <xf numFmtId="168" fontId="18" fillId="0" borderId="0" xfId="0" applyFont="true" applyBorder="false" applyAlignment="false" applyProtection="false">
      <alignment horizontal="general" vertical="bottom" textRotation="0" wrapText="false" indent="0" shrinkToFit="false"/>
      <protection locked="true" hidden="false"/>
    </xf>
    <xf numFmtId="165" fontId="18" fillId="3" borderId="0" xfId="0" applyFont="true" applyBorder="false" applyAlignment="false" applyProtection="false">
      <alignment horizontal="general" vertical="bottom" textRotation="0" wrapText="false" indent="0" shrinkToFit="false"/>
      <protection locked="true" hidden="false"/>
    </xf>
    <xf numFmtId="167" fontId="17" fillId="5" borderId="0" xfId="0" applyFont="true" applyBorder="false" applyAlignment="true" applyProtection="false">
      <alignment horizontal="center"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11" fillId="0" borderId="2" xfId="0" applyFont="true" applyBorder="tru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7" fontId="11" fillId="0" borderId="2" xfId="0"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E4002B"/>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EDF1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A8A"/>
      <rgbColor rgb="FF969696"/>
      <rgbColor rgb="FF0A2E8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Reliance_SOTP.xlsx" TargetMode="External"/><Relationship Id="rId2" Type="http://schemas.openxmlformats.org/officeDocument/2006/relationships/hyperlink" Target="Reliance_SOTP.xlsx" TargetMode="External"/><Relationship Id="rId3" Type="http://schemas.openxmlformats.org/officeDocument/2006/relationships/hyperlink" Target="Reliance_SOTP.xlsx" TargetMode="External"/><Relationship Id="rId4" Type="http://schemas.openxmlformats.org/officeDocument/2006/relationships/hyperlink" Target="Reliance_SOTP.xlsx" TargetMode="External"/><Relationship Id="rId5" Type="http://schemas.openxmlformats.org/officeDocument/2006/relationships/hyperlink" Target="Reliance_SOTP.xlsx" TargetMode="External"/><Relationship Id="rId6" Type="http://schemas.openxmlformats.org/officeDocument/2006/relationships/hyperlink" Target="Reliance_SOTP.xlsx" TargetMode="External"/><Relationship Id="rId7" Type="http://schemas.openxmlformats.org/officeDocument/2006/relationships/hyperlink" Target="Reliance_SOTP.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3"/>
    <col collapsed="false" customWidth="true" hidden="false" outlineLevel="0" max="5" min="5" style="0" width="24"/>
    <col collapsed="false" customWidth="true" hidden="false" outlineLevel="0" max="6" min="6" style="0" width="14"/>
  </cols>
  <sheetData>
    <row r="1" customFormat="false" ht="7.5" hidden="false" customHeight="true" outlineLevel="0" collapsed="false">
      <c r="A1" s="1"/>
    </row>
    <row r="2" customFormat="false" ht="15" hidden="false" customHeight="false" outlineLevel="0" collapsed="false">
      <c r="A2" s="1"/>
    </row>
    <row r="3" customFormat="false" ht="15" hidden="false" customHeight="false" outlineLevel="0" collapsed="false">
      <c r="A3" s="1"/>
      <c r="B3" s="2" t="s">
        <v>0</v>
      </c>
    </row>
    <row r="4" customFormat="false" ht="31.5" hidden="false" customHeight="true" outlineLevel="0" collapsed="false">
      <c r="A4" s="1"/>
      <c r="B4" s="3" t="s">
        <v>1</v>
      </c>
    </row>
    <row r="5" customFormat="false" ht="21.75" hidden="false" customHeight="true" outlineLevel="0" collapsed="false">
      <c r="A5" s="1"/>
      <c r="B5" s="4" t="s">
        <v>2</v>
      </c>
    </row>
    <row r="6" customFormat="false" ht="15" hidden="false" customHeight="false" outlineLevel="0" collapsed="false">
      <c r="A6" s="1"/>
      <c r="B6" s="5" t="s">
        <v>3</v>
      </c>
    </row>
    <row r="7" customFormat="false" ht="3" hidden="false" customHeight="true" outlineLevel="0" collapsed="false">
      <c r="A7" s="1"/>
      <c r="B7" s="6"/>
      <c r="C7" s="6"/>
      <c r="D7" s="6"/>
      <c r="E7" s="6"/>
      <c r="F7" s="6"/>
    </row>
    <row r="8" customFormat="false" ht="15" hidden="false" customHeight="false" outlineLevel="0" collapsed="false">
      <c r="A8" s="1"/>
    </row>
    <row r="9" customFormat="false" ht="75" hidden="false" customHeight="true" outlineLevel="0" collapsed="false">
      <c r="A9" s="1"/>
      <c r="B9" s="7" t="s">
        <v>4</v>
      </c>
      <c r="C9" s="8" t="s">
        <v>5</v>
      </c>
      <c r="D9" s="8"/>
      <c r="E9" s="8"/>
      <c r="F9" s="8"/>
    </row>
    <row r="10" customFormat="false" ht="15" hidden="false" customHeight="false" outlineLevel="0" collapsed="false">
      <c r="A10" s="1"/>
    </row>
    <row r="11" customFormat="false" ht="30" hidden="false" customHeight="true" outlineLevel="0" collapsed="false">
      <c r="A11" s="1"/>
      <c r="B11" s="7" t="s">
        <v>6</v>
      </c>
      <c r="C11" s="8" t="s">
        <v>7</v>
      </c>
      <c r="D11" s="8"/>
      <c r="E11" s="8"/>
      <c r="F11" s="8"/>
    </row>
    <row r="12" customFormat="false" ht="30" hidden="false" customHeight="true" outlineLevel="0" collapsed="false">
      <c r="A12" s="1"/>
      <c r="C12" s="8" t="s">
        <v>8</v>
      </c>
      <c r="D12" s="8"/>
      <c r="E12" s="8"/>
      <c r="F12" s="8"/>
    </row>
    <row r="13" customFormat="false" ht="15" hidden="false" customHeight="true" outlineLevel="0" collapsed="false">
      <c r="A13" s="1"/>
      <c r="C13" s="8" t="s">
        <v>9</v>
      </c>
      <c r="D13" s="8"/>
      <c r="E13" s="8"/>
      <c r="F13" s="8"/>
    </row>
    <row r="14" customFormat="false" ht="30" hidden="false" customHeight="true" outlineLevel="0" collapsed="false">
      <c r="A14" s="1"/>
      <c r="C14" s="8" t="s">
        <v>10</v>
      </c>
      <c r="D14" s="8"/>
      <c r="E14" s="8"/>
      <c r="F14" s="8"/>
    </row>
    <row r="15" customFormat="false" ht="15" hidden="false" customHeight="false" outlineLevel="0" collapsed="false">
      <c r="A15" s="1"/>
    </row>
    <row r="16" customFormat="false" ht="15" hidden="false" customHeight="false" outlineLevel="0" collapsed="false">
      <c r="A16" s="1"/>
      <c r="B16" s="7" t="s">
        <v>11</v>
      </c>
      <c r="C16" s="9" t="s">
        <v>12</v>
      </c>
      <c r="D16" s="9"/>
      <c r="E16" s="9"/>
      <c r="F16" s="9"/>
    </row>
    <row r="17" customFormat="false" ht="15" hidden="false" customHeight="false" outlineLevel="0" collapsed="false">
      <c r="A17" s="1"/>
      <c r="C17" s="9" t="s">
        <v>13</v>
      </c>
      <c r="D17" s="9"/>
      <c r="E17" s="9"/>
      <c r="F17" s="9"/>
    </row>
    <row r="18" customFormat="false" ht="15" hidden="false" customHeight="false" outlineLevel="0" collapsed="false">
      <c r="A18" s="1"/>
      <c r="C18" s="9" t="s">
        <v>14</v>
      </c>
      <c r="D18" s="9"/>
      <c r="E18" s="9"/>
      <c r="F18" s="9"/>
    </row>
    <row r="19" customFormat="false" ht="15" hidden="false" customHeight="false" outlineLevel="0" collapsed="false">
      <c r="A19" s="1"/>
      <c r="C19" s="9" t="s">
        <v>15</v>
      </c>
      <c r="D19" s="9"/>
      <c r="E19" s="9"/>
      <c r="F19" s="9"/>
    </row>
    <row r="20" customFormat="false" ht="15" hidden="false" customHeight="false" outlineLevel="0" collapsed="false">
      <c r="A20" s="1"/>
      <c r="C20" s="9" t="s">
        <v>16</v>
      </c>
      <c r="D20" s="9"/>
      <c r="E20" s="9"/>
      <c r="F20" s="9"/>
    </row>
    <row r="21" customFormat="false" ht="15" hidden="false" customHeight="false" outlineLevel="0" collapsed="false">
      <c r="A21" s="1"/>
      <c r="C21" s="9" t="s">
        <v>17</v>
      </c>
      <c r="D21" s="9"/>
      <c r="E21" s="9"/>
      <c r="F21" s="9"/>
    </row>
    <row r="22" customFormat="false" ht="15" hidden="false" customHeight="false" outlineLevel="0" collapsed="false">
      <c r="A22" s="1"/>
      <c r="C22" s="9" t="s">
        <v>18</v>
      </c>
      <c r="D22" s="9"/>
      <c r="E22" s="9"/>
      <c r="F22" s="9"/>
    </row>
    <row r="23" customFormat="false" ht="15" hidden="false" customHeight="false" outlineLevel="0" collapsed="false">
      <c r="A23" s="1"/>
    </row>
    <row r="24" customFormat="false" ht="15" hidden="false" customHeight="false" outlineLevel="0" collapsed="false">
      <c r="A24" s="1"/>
      <c r="B24" s="7" t="s">
        <v>19</v>
      </c>
      <c r="C24" s="10" t="s">
        <v>20</v>
      </c>
      <c r="D24" s="11"/>
      <c r="E24" s="12" t="n">
        <f aca="false">SOTP!$G$11</f>
        <v>1848611.026</v>
      </c>
    </row>
    <row r="25" customFormat="false" ht="15" hidden="false" customHeight="false" outlineLevel="0" collapsed="false">
      <c r="A25" s="1"/>
      <c r="C25" s="10" t="s">
        <v>21</v>
      </c>
      <c r="D25" s="11"/>
      <c r="E25" s="13" t="n">
        <f aca="false">SOTP!$G$22</f>
        <v>1064.61239490116</v>
      </c>
    </row>
    <row r="26" customFormat="false" ht="15" hidden="false" customHeight="false" outlineLevel="0" collapsed="false">
      <c r="A26" s="1"/>
      <c r="C26" s="10" t="s">
        <v>22</v>
      </c>
      <c r="D26" s="11"/>
      <c r="E26" s="13" t="n">
        <f aca="false">SOTP!$G$23</f>
        <v>1244.6</v>
      </c>
    </row>
    <row r="27" customFormat="false" ht="15" hidden="false" customHeight="false" outlineLevel="0" collapsed="false">
      <c r="A27" s="1"/>
      <c r="C27" s="10" t="s">
        <v>23</v>
      </c>
      <c r="D27" s="11"/>
      <c r="E27" s="14" t="n">
        <f aca="false">SOTP!$G$24</f>
        <v>-0.144614820101909</v>
      </c>
    </row>
    <row r="28" customFormat="false" ht="15" hidden="false" customHeight="false" outlineLevel="0" collapsed="false">
      <c r="A28" s="1"/>
      <c r="C28" s="10" t="s">
        <v>24</v>
      </c>
      <c r="D28" s="11"/>
      <c r="E28" s="15" t="n">
        <f aca="false">'Market-Implied'!$C$11</f>
        <v>17.2735975081747</v>
      </c>
    </row>
    <row r="29" customFormat="false" ht="15" hidden="false" customHeight="false" outlineLevel="0" collapsed="false">
      <c r="A29" s="1"/>
      <c r="C29" s="10" t="s">
        <v>25</v>
      </c>
      <c r="D29" s="11"/>
      <c r="E29" s="16" t="n">
        <f aca="false">'Market-Implied'!$C$14</f>
        <v>158.379236553994</v>
      </c>
    </row>
    <row r="30" customFormat="false" ht="15" hidden="false" customHeight="false" outlineLevel="0" collapsed="false">
      <c r="A30" s="1"/>
    </row>
    <row r="31" customFormat="false" ht="15" hidden="false" customHeight="false" outlineLevel="0" collapsed="false">
      <c r="A31" s="1"/>
      <c r="B31" s="7" t="s">
        <v>26</v>
      </c>
      <c r="C31" s="17" t="s">
        <v>27</v>
      </c>
    </row>
    <row r="32" customFormat="false" ht="15" hidden="false" customHeight="false" outlineLevel="0" collapsed="false">
      <c r="A32" s="1"/>
      <c r="C32" s="18" t="s">
        <v>28</v>
      </c>
    </row>
    <row r="33" customFormat="false" ht="15" hidden="false" customHeight="false" outlineLevel="0" collapsed="false">
      <c r="A33" s="1"/>
      <c r="C33" s="19" t="s">
        <v>29</v>
      </c>
    </row>
    <row r="34" customFormat="false" ht="15" hidden="false" customHeight="false" outlineLevel="0" collapsed="false">
      <c r="A34" s="1"/>
      <c r="C34" s="20" t="s">
        <v>30</v>
      </c>
    </row>
    <row r="35" customFormat="false" ht="15" hidden="false" customHeight="false" outlineLevel="0" collapsed="false">
      <c r="A35" s="1"/>
    </row>
    <row r="36" customFormat="false" ht="27.75" hidden="false" customHeight="true" outlineLevel="0" collapsed="false">
      <c r="A36" s="1"/>
      <c r="B36" s="7" t="s">
        <v>31</v>
      </c>
      <c r="C36" s="21" t="s">
        <v>32</v>
      </c>
      <c r="D36" s="21"/>
      <c r="E36" s="21"/>
      <c r="F36" s="21"/>
    </row>
    <row r="37" customFormat="false" ht="27.75" hidden="false" customHeight="true" outlineLevel="0" collapsed="false">
      <c r="A37" s="1"/>
      <c r="C37" s="21" t="s">
        <v>33</v>
      </c>
      <c r="D37" s="21"/>
      <c r="E37" s="21"/>
      <c r="F37" s="21"/>
    </row>
    <row r="38" customFormat="false" ht="13.5" hidden="false" customHeight="true" outlineLevel="0" collapsed="false">
      <c r="A38" s="1"/>
      <c r="C38" s="21" t="s">
        <v>34</v>
      </c>
      <c r="D38" s="21"/>
      <c r="E38" s="21"/>
      <c r="F38" s="21"/>
    </row>
    <row r="39" customFormat="false" ht="13.5" hidden="false" customHeight="true" outlineLevel="0" collapsed="false">
      <c r="A39" s="1"/>
      <c r="C39" s="21" t="s">
        <v>35</v>
      </c>
      <c r="D39" s="21"/>
      <c r="E39" s="21"/>
      <c r="F39" s="21"/>
    </row>
    <row r="40" customFormat="false" ht="27.75" hidden="false" customHeight="true" outlineLevel="0" collapsed="false">
      <c r="A40" s="1"/>
      <c r="C40" s="21" t="s">
        <v>36</v>
      </c>
      <c r="D40" s="21"/>
      <c r="E40" s="21"/>
      <c r="F40" s="21"/>
    </row>
    <row r="41" customFormat="false" ht="15" hidden="false" customHeight="false" outlineLevel="0" collapsed="false">
      <c r="A41" s="1"/>
    </row>
    <row r="42" customFormat="false" ht="15" hidden="false" customHeight="false" outlineLevel="0" collapsed="false">
      <c r="A42" s="1"/>
      <c r="B42" s="7" t="s">
        <v>37</v>
      </c>
      <c r="C42" s="22" t="s">
        <v>38</v>
      </c>
    </row>
    <row r="43" customFormat="false" ht="15" hidden="false" customHeight="false" outlineLevel="0" collapsed="false">
      <c r="A43" s="1"/>
    </row>
    <row r="44" customFormat="false" ht="15" hidden="false" customHeight="false" outlineLevel="0" collapsed="false">
      <c r="A44" s="1"/>
    </row>
    <row r="45" customFormat="false" ht="15" hidden="false" customHeight="false" outlineLevel="0" collapsed="false">
      <c r="A45" s="1"/>
    </row>
  </sheetData>
  <mergeCells count="17">
    <mergeCell ref="C9:F9"/>
    <mergeCell ref="C11:F11"/>
    <mergeCell ref="C12:F12"/>
    <mergeCell ref="C13:F13"/>
    <mergeCell ref="C14:F14"/>
    <mergeCell ref="C16:F16"/>
    <mergeCell ref="C17:F17"/>
    <mergeCell ref="C18:F18"/>
    <mergeCell ref="C19:F19"/>
    <mergeCell ref="C20:F20"/>
    <mergeCell ref="C21:F21"/>
    <mergeCell ref="C22:F22"/>
    <mergeCell ref="C36:F36"/>
    <mergeCell ref="C37:F37"/>
    <mergeCell ref="C38:F38"/>
    <mergeCell ref="C39:F39"/>
    <mergeCell ref="C40:F40"/>
  </mergeCells>
  <hyperlinks>
    <hyperlink ref="C16" r:id="rId1" location="'Summary'!A1" display="Summary  —  the parts, the bridge, the per-share value and the market-implied Jio multiple"/>
    <hyperlink ref="C17" r:id="rId2" location="'SOTP'!A1" display="SOTP  —  segment EVs, RIL share, net debt, discount, per-share"/>
    <hyperlink ref="C18" r:id="rId3" location="'Peers'!A1" display="Peers  —  peer multiples by segment with medians and exclusions"/>
    <hyperlink ref="C19" r:id="rId4" location="'Market-Implied'!A1" display="Market-Implied  —  the Jio and Retail multiples the share price implies"/>
    <hyperlink ref="C20" r:id="rId5" location="'Sensitivity'!A1" display="Sensitivity  —  Jio versus Retail multiple, Jio versus discount, low–high range"/>
    <hyperlink ref="C21" r:id="rId6" location="'Inputs'!A1" display="Inputs  —  segment EBITDA, stakes, selected multiples, group items, market data"/>
    <hyperlink ref="C22" r:id="rId7" location="'Checks'!A1" display="Checks  —  sixteen tests; must read MODEL OK"/>
  </hyperlinks>
  <printOptions headings="false" gridLines="false" gridLinesSet="true" horizontalCentered="true" verticalCentered="false"/>
  <pageMargins left="0.4" right="0.4" top="0.5" bottom="0.55" header="0.5" footer="0.5"/>
  <pageSetup paperSize="9" scale="100" fitToWidth="1" fitToHeight="0" pageOrder="downThenOver" orientation="portrait" blackAndWhite="false" draft="false" cellComments="none" horizontalDpi="300" verticalDpi="300" copies="1"/>
  <headerFooter differentFirst="false" differentOddEven="false">
    <oddHeader>&amp;L&amp;"Arial,Bold"&amp;8Reliance Industries — Sum-of-the-Parts Valuation&amp;R&amp;"Arial,Regular"&amp;8Cover</oddHeader>
    <oddFooter>&amp;L&amp;"Arial,Regular"&amp;8Jainam Mehta · github.com/jainammehta1215/ib-portfolio&amp;C&amp;"Arial,Regular"&amp;8Blue = input · Black = formula · Green = link&amp;R&amp;"Arial,Regular"&amp;8Page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0"/>
    <col collapsed="false" customWidth="true" hidden="false" outlineLevel="0" max="8" min="3" style="0" width="13"/>
    <col collapsed="false" customWidth="true" hidden="false" outlineLevel="0" max="9" min="9" style="0" width="54"/>
  </cols>
  <sheetData>
    <row r="1" customFormat="false" ht="30" hidden="false" customHeight="true" outlineLevel="0" collapsed="false">
      <c r="A1" s="1"/>
      <c r="B1" s="23" t="s">
        <v>39</v>
      </c>
      <c r="C1" s="1"/>
      <c r="D1" s="1"/>
      <c r="E1" s="1"/>
      <c r="F1" s="1"/>
      <c r="G1" s="1"/>
      <c r="H1" s="1"/>
      <c r="I1" s="24" t="s">
        <v>40</v>
      </c>
    </row>
    <row r="2" customFormat="false" ht="18" hidden="false" customHeight="true" outlineLevel="0" collapsed="false">
      <c r="A2" s="1"/>
      <c r="B2" s="25" t="s">
        <v>41</v>
      </c>
      <c r="C2" s="1"/>
      <c r="D2" s="1"/>
      <c r="E2" s="1"/>
      <c r="F2" s="1"/>
      <c r="G2" s="1"/>
      <c r="H2" s="1"/>
      <c r="I2" s="1"/>
    </row>
    <row r="4" customFormat="false" ht="15.75" hidden="false" customHeight="true" outlineLevel="0" collapsed="false">
      <c r="B4" s="26" t="s">
        <v>42</v>
      </c>
      <c r="C4" s="1"/>
      <c r="D4" s="1"/>
      <c r="E4" s="1"/>
      <c r="F4" s="1"/>
      <c r="G4" s="1"/>
      <c r="H4" s="1"/>
      <c r="I4" s="1"/>
    </row>
    <row r="5" customFormat="false" ht="18" hidden="false" customHeight="true" outlineLevel="0" collapsed="false">
      <c r="B5" s="27" t="s">
        <v>43</v>
      </c>
      <c r="C5" s="28" t="s">
        <v>44</v>
      </c>
      <c r="D5" s="28" t="s">
        <v>45</v>
      </c>
      <c r="E5" s="28" t="s">
        <v>46</v>
      </c>
      <c r="F5" s="28" t="s">
        <v>47</v>
      </c>
      <c r="G5" s="28" t="s">
        <v>48</v>
      </c>
      <c r="H5" s="28" t="s">
        <v>49</v>
      </c>
      <c r="I5" s="28" t="s">
        <v>50</v>
      </c>
    </row>
    <row r="6" customFormat="false" ht="15" hidden="false" customHeight="false" outlineLevel="0" collapsed="false">
      <c r="B6" s="22" t="s">
        <v>51</v>
      </c>
      <c r="C6" s="29" t="n">
        <v>65001</v>
      </c>
      <c r="D6" s="29" t="n">
        <v>76560</v>
      </c>
      <c r="E6" s="30" t="n">
        <f aca="false">D6/C6-1</f>
        <v>0.177828033414871</v>
      </c>
      <c r="F6" s="31" t="n">
        <v>0.6703</v>
      </c>
      <c r="G6" s="32" t="n">
        <v>12</v>
      </c>
      <c r="H6" s="32" t="n">
        <v>10</v>
      </c>
      <c r="I6" s="32" t="n">
        <v>14</v>
      </c>
    </row>
    <row r="7" customFormat="false" ht="15" hidden="false" customHeight="false" outlineLevel="0" collapsed="false">
      <c r="B7" s="22" t="s">
        <v>52</v>
      </c>
      <c r="C7" s="29" t="n">
        <v>25094</v>
      </c>
      <c r="D7" s="29" t="n">
        <v>27034</v>
      </c>
      <c r="E7" s="30" t="n">
        <f aca="false">D7/C7-1</f>
        <v>0.0773093169681995</v>
      </c>
      <c r="F7" s="31" t="n">
        <v>0.8506</v>
      </c>
      <c r="G7" s="32" t="n">
        <v>25</v>
      </c>
      <c r="H7" s="32" t="n">
        <v>20</v>
      </c>
      <c r="I7" s="32" t="n">
        <v>30</v>
      </c>
    </row>
    <row r="8" customFormat="false" ht="15" hidden="false" customHeight="false" outlineLevel="0" collapsed="false">
      <c r="B8" s="22" t="s">
        <v>53</v>
      </c>
      <c r="C8" s="29" t="n">
        <v>54988</v>
      </c>
      <c r="D8" s="29" t="n">
        <v>60546</v>
      </c>
      <c r="E8" s="30" t="n">
        <f aca="false">D8/C8-1</f>
        <v>0.101076598530589</v>
      </c>
      <c r="F8" s="31" t="n">
        <v>1</v>
      </c>
      <c r="G8" s="32" t="n">
        <v>7.5</v>
      </c>
      <c r="H8" s="32" t="n">
        <v>6.5</v>
      </c>
      <c r="I8" s="32" t="n">
        <v>8.5</v>
      </c>
    </row>
    <row r="9" customFormat="false" ht="15" hidden="false" customHeight="false" outlineLevel="0" collapsed="false">
      <c r="B9" s="22" t="s">
        <v>54</v>
      </c>
      <c r="C9" s="29" t="n">
        <v>21188</v>
      </c>
      <c r="D9" s="29" t="n">
        <v>19050</v>
      </c>
      <c r="E9" s="30" t="n">
        <f aca="false">D9/C9-1</f>
        <v>-0.100906173305645</v>
      </c>
      <c r="F9" s="31" t="n">
        <v>1</v>
      </c>
      <c r="G9" s="32" t="n">
        <v>5</v>
      </c>
      <c r="H9" s="32" t="n">
        <v>4</v>
      </c>
      <c r="I9" s="32" t="n">
        <v>6</v>
      </c>
    </row>
    <row r="10" customFormat="false" ht="15" hidden="false" customHeight="false" outlineLevel="0" collapsed="false">
      <c r="B10" s="22" t="s">
        <v>55</v>
      </c>
      <c r="C10" s="29" t="n">
        <v>8526</v>
      </c>
      <c r="D10" s="29" t="n">
        <v>10857</v>
      </c>
      <c r="E10" s="30" t="n">
        <f aca="false">D10/C10-1</f>
        <v>0.273399014778325</v>
      </c>
      <c r="F10" s="31" t="n">
        <v>1</v>
      </c>
      <c r="G10" s="32" t="n">
        <v>10</v>
      </c>
      <c r="H10" s="32" t="n">
        <v>8</v>
      </c>
      <c r="I10" s="32" t="n">
        <v>12</v>
      </c>
    </row>
    <row r="11" customFormat="false" ht="15" hidden="false" customHeight="false" outlineLevel="0" collapsed="false">
      <c r="B11" s="27" t="s">
        <v>56</v>
      </c>
      <c r="C11" s="33" t="n">
        <f aca="false">SUM(C6:C10)</f>
        <v>174797</v>
      </c>
      <c r="D11" s="33" t="n">
        <f aca="false">SUM(D6:D10)</f>
        <v>194047</v>
      </c>
    </row>
    <row r="12" customFormat="false" ht="39.75" hidden="false" customHeight="true" outlineLevel="0" collapsed="false">
      <c r="B12" s="21" t="s">
        <v>57</v>
      </c>
      <c r="C12" s="21"/>
      <c r="D12" s="21"/>
      <c r="E12" s="21"/>
      <c r="F12" s="21"/>
      <c r="G12" s="21"/>
      <c r="H12" s="21"/>
      <c r="I12" s="21"/>
    </row>
    <row r="14" customFormat="false" ht="15.75" hidden="false" customHeight="true" outlineLevel="0" collapsed="false">
      <c r="B14" s="26" t="s">
        <v>58</v>
      </c>
      <c r="C14" s="1"/>
      <c r="D14" s="1"/>
      <c r="E14" s="1"/>
      <c r="F14" s="1"/>
      <c r="G14" s="1"/>
      <c r="H14" s="1"/>
      <c r="I14" s="1"/>
    </row>
    <row r="15" customFormat="false" ht="22.35" hidden="false" customHeight="false" outlineLevel="0" collapsed="false">
      <c r="B15" s="22" t="s">
        <v>59</v>
      </c>
      <c r="C15" s="29" t="n">
        <v>207911</v>
      </c>
      <c r="I15" s="34" t="s">
        <v>60</v>
      </c>
    </row>
    <row r="16" customFormat="false" ht="15" hidden="false" customHeight="false" outlineLevel="0" collapsed="false">
      <c r="B16" s="22" t="s">
        <v>61</v>
      </c>
      <c r="C16" s="29" t="n">
        <v>374421</v>
      </c>
    </row>
    <row r="17" customFormat="false" ht="15" hidden="false" customHeight="false" outlineLevel="0" collapsed="false">
      <c r="B17" s="22" t="s">
        <v>62</v>
      </c>
      <c r="C17" s="29" t="n">
        <v>249704</v>
      </c>
    </row>
    <row r="18" customFormat="false" ht="15" hidden="false" customHeight="false" outlineLevel="0" collapsed="false">
      <c r="B18" s="22" t="s">
        <v>63</v>
      </c>
      <c r="C18" s="29" t="n">
        <v>23579</v>
      </c>
    </row>
    <row r="19" customFormat="false" ht="22.35" hidden="false" customHeight="false" outlineLevel="0" collapsed="false">
      <c r="B19" s="22" t="s">
        <v>64</v>
      </c>
      <c r="C19" s="29" t="n">
        <v>99552</v>
      </c>
      <c r="I19" s="34" t="s">
        <v>65</v>
      </c>
    </row>
    <row r="20" customFormat="false" ht="15" hidden="false" customHeight="false" outlineLevel="0" collapsed="false">
      <c r="B20" s="27" t="s">
        <v>66</v>
      </c>
      <c r="C20" s="35" t="n">
        <f aca="false">Inputs!$C$16-Inputs!$C$17+Inputs!$C$18+Inputs!$C$19</f>
        <v>247848</v>
      </c>
    </row>
    <row r="21" customFormat="false" ht="22.35" hidden="false" customHeight="false" outlineLevel="0" collapsed="false">
      <c r="B21" s="22" t="s">
        <v>67</v>
      </c>
      <c r="C21" s="29" t="n">
        <v>181836</v>
      </c>
      <c r="I21" s="34" t="s">
        <v>68</v>
      </c>
    </row>
    <row r="22" customFormat="false" ht="22.35" hidden="false" customHeight="false" outlineLevel="0" collapsed="false">
      <c r="B22" s="22" t="s">
        <v>69</v>
      </c>
      <c r="C22" s="31" t="n">
        <v>0.1</v>
      </c>
      <c r="I22" s="34" t="s">
        <v>70</v>
      </c>
    </row>
    <row r="24" customFormat="false" ht="15.75" hidden="false" customHeight="true" outlineLevel="0" collapsed="false">
      <c r="B24" s="26" t="s">
        <v>71</v>
      </c>
      <c r="C24" s="1"/>
      <c r="D24" s="1"/>
      <c r="E24" s="1"/>
      <c r="F24" s="1"/>
      <c r="G24" s="1"/>
      <c r="H24" s="1"/>
      <c r="I24" s="1"/>
    </row>
    <row r="25" customFormat="false" ht="15" hidden="false" customHeight="false" outlineLevel="0" collapsed="false">
      <c r="B25" s="22" t="s">
        <v>72</v>
      </c>
      <c r="C25" s="36" t="n">
        <v>1244.6</v>
      </c>
    </row>
    <row r="26" customFormat="false" ht="15" hidden="false" customHeight="false" outlineLevel="0" collapsed="false">
      <c r="B26" s="22" t="s">
        <v>73</v>
      </c>
      <c r="C26" s="36" t="n">
        <v>1353.25</v>
      </c>
    </row>
    <row r="27" customFormat="false" ht="15" hidden="false" customHeight="false" outlineLevel="0" collapsed="false">
      <c r="B27" s="27" t="s">
        <v>74</v>
      </c>
      <c r="C27" s="35" t="n">
        <f aca="false">Inputs!$C$25*Inputs!$C$26</f>
        <v>1684254.95</v>
      </c>
    </row>
    <row r="28" customFormat="false" ht="15" hidden="false" customHeight="false" outlineLevel="0" collapsed="false">
      <c r="B28" s="22" t="s">
        <v>75</v>
      </c>
      <c r="C28" s="36" t="n">
        <v>59.69</v>
      </c>
    </row>
    <row r="29" customFormat="false" ht="15" hidden="false" customHeight="false" outlineLevel="0" collapsed="false">
      <c r="B29" s="22" t="s">
        <v>76</v>
      </c>
      <c r="C29" s="36" t="n">
        <v>1235.3</v>
      </c>
    </row>
    <row r="30" customFormat="false" ht="15" hidden="false" customHeight="false" outlineLevel="0" collapsed="false">
      <c r="B30" s="22" t="s">
        <v>77</v>
      </c>
      <c r="C30" s="36" t="n">
        <v>1611.8</v>
      </c>
    </row>
  </sheetData>
  <mergeCells count="1">
    <mergeCell ref="B12:I12"/>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&amp;L&amp;"Arial,Bold"&amp;8Reliance Industries — Sum-of-the-Parts Valuation&amp;R&amp;"Arial,Regular"&amp;8Inputs</oddHeader>
    <oddFooter>&amp;L&amp;"Arial,Regular"&amp;8Jainam Mehta · github.com/jainammehta1215/ib-portfolio&amp;C&amp;"Arial,Regular"&amp;8Blue = input · Black = formula · Green = link&amp;R&amp;"Arial,Regular"&amp;8Page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34"/>
    <col collapsed="false" customWidth="true" hidden="false" outlineLevel="0" max="3" min="3" style="0" width="24"/>
    <col collapsed="false" customWidth="true" hidden="false" outlineLevel="0" max="6" min="4" style="0" width="13"/>
    <col collapsed="false" customWidth="true" hidden="false" outlineLevel="0" max="7" min="7" style="0" width="58"/>
  </cols>
  <sheetData>
    <row r="1" customFormat="false" ht="30" hidden="false" customHeight="true" outlineLevel="0" collapsed="false">
      <c r="A1" s="1"/>
      <c r="B1" s="23" t="s">
        <v>39</v>
      </c>
      <c r="C1" s="1"/>
      <c r="D1" s="1"/>
      <c r="E1" s="1"/>
      <c r="F1" s="1"/>
      <c r="G1" s="24" t="s">
        <v>40</v>
      </c>
    </row>
    <row r="2" customFormat="false" ht="18" hidden="false" customHeight="true" outlineLevel="0" collapsed="false">
      <c r="A2" s="1"/>
      <c r="B2" s="25" t="s">
        <v>78</v>
      </c>
      <c r="C2" s="1"/>
      <c r="D2" s="1"/>
      <c r="E2" s="1"/>
      <c r="F2" s="1"/>
      <c r="G2" s="1"/>
    </row>
    <row r="4" customFormat="false" ht="15.75" hidden="false" customHeight="true" outlineLevel="0" collapsed="false">
      <c r="B4" s="26" t="s">
        <v>79</v>
      </c>
      <c r="C4" s="1"/>
      <c r="D4" s="1"/>
      <c r="E4" s="1"/>
      <c r="F4" s="1"/>
      <c r="G4" s="1"/>
    </row>
    <row r="5" customFormat="false" ht="18" hidden="false" customHeight="true" outlineLevel="0" collapsed="false">
      <c r="B5" s="27" t="s">
        <v>80</v>
      </c>
      <c r="C5" s="28" t="s">
        <v>81</v>
      </c>
      <c r="D5" s="28" t="s">
        <v>82</v>
      </c>
      <c r="E5" s="28" t="s">
        <v>83</v>
      </c>
      <c r="F5" s="28" t="s">
        <v>84</v>
      </c>
      <c r="G5" s="28" t="s">
        <v>85</v>
      </c>
    </row>
    <row r="6" customFormat="false" ht="15" hidden="false" customHeight="false" outlineLevel="0" collapsed="false">
      <c r="B6" s="22" t="s">
        <v>86</v>
      </c>
      <c r="C6" s="22" t="s">
        <v>87</v>
      </c>
      <c r="D6" s="32" t="n">
        <v>11.6</v>
      </c>
      <c r="E6" s="37" t="n">
        <v>1</v>
      </c>
      <c r="F6" s="38" t="n">
        <f aca="false">IF(E6=1,D6,"")</f>
        <v>11.6</v>
      </c>
      <c r="G6" s="5" t="s">
        <v>88</v>
      </c>
    </row>
    <row r="7" customFormat="false" ht="15" hidden="false" customHeight="false" outlineLevel="0" collapsed="false">
      <c r="B7" s="22" t="s">
        <v>89</v>
      </c>
      <c r="C7" s="22" t="s">
        <v>90</v>
      </c>
      <c r="D7" s="32" t="n">
        <v>11.8</v>
      </c>
      <c r="E7" s="37" t="n">
        <v>1</v>
      </c>
      <c r="F7" s="38" t="n">
        <f aca="false">IF(E7=1,D7,"")</f>
        <v>11.8</v>
      </c>
      <c r="G7" s="5"/>
    </row>
    <row r="8" customFormat="false" ht="15" hidden="false" customHeight="false" outlineLevel="0" collapsed="false">
      <c r="B8" s="22" t="s">
        <v>91</v>
      </c>
      <c r="C8" s="22" t="s">
        <v>92</v>
      </c>
      <c r="D8" s="32" t="n">
        <v>7.6</v>
      </c>
      <c r="E8" s="37" t="n">
        <v>1</v>
      </c>
      <c r="F8" s="38" t="n">
        <f aca="false">IF(E8=1,D8,"")</f>
        <v>7.6</v>
      </c>
      <c r="G8" s="5"/>
    </row>
    <row r="9" customFormat="false" ht="15" hidden="false" customHeight="false" outlineLevel="0" collapsed="false">
      <c r="B9" s="22" t="s">
        <v>93</v>
      </c>
      <c r="C9" s="22" t="s">
        <v>94</v>
      </c>
      <c r="D9" s="32" t="n">
        <v>7.7</v>
      </c>
      <c r="E9" s="37" t="n">
        <v>1</v>
      </c>
      <c r="F9" s="38" t="n">
        <f aca="false">IF(E9=1,D9,"")</f>
        <v>7.7</v>
      </c>
      <c r="G9" s="5"/>
    </row>
    <row r="10" customFormat="false" ht="15" hidden="false" customHeight="false" outlineLevel="0" collapsed="false">
      <c r="B10" s="22" t="s">
        <v>95</v>
      </c>
      <c r="C10" s="22" t="s">
        <v>96</v>
      </c>
      <c r="D10" s="32" t="n">
        <v>27.9</v>
      </c>
      <c r="E10" s="37" t="n">
        <v>0</v>
      </c>
      <c r="F10" s="38" t="str">
        <f aca="false">IF(E10=1,D10,"")</f>
        <v/>
      </c>
      <c r="G10" s="5" t="s">
        <v>97</v>
      </c>
    </row>
    <row r="11" customFormat="false" ht="15" hidden="false" customHeight="false" outlineLevel="0" collapsed="false">
      <c r="B11" s="22" t="s">
        <v>98</v>
      </c>
      <c r="C11" s="22" t="s">
        <v>99</v>
      </c>
      <c r="D11" s="32" t="n">
        <v>23.4</v>
      </c>
      <c r="E11" s="37" t="n">
        <v>0</v>
      </c>
      <c r="F11" s="38" t="str">
        <f aca="false">IF(E11=1,D11,"")</f>
        <v/>
      </c>
      <c r="G11" s="5" t="s">
        <v>100</v>
      </c>
    </row>
    <row r="12" customFormat="false" ht="15" hidden="false" customHeight="false" outlineLevel="0" collapsed="false">
      <c r="B12" s="27" t="s">
        <v>101</v>
      </c>
      <c r="D12" s="38" t="n">
        <f aca="false">MEDIAN($F$6:$F$11)</f>
        <v>9.65</v>
      </c>
    </row>
    <row r="13" customFormat="false" ht="15" hidden="false" customHeight="false" outlineLevel="0" collapsed="false">
      <c r="B13" s="22" t="s">
        <v>102</v>
      </c>
      <c r="D13" s="38" t="n">
        <f aca="false">AVERAGE($F$6:$F$11)</f>
        <v>9.675</v>
      </c>
    </row>
    <row r="14" customFormat="false" ht="15" hidden="false" customHeight="false" outlineLevel="0" collapsed="false">
      <c r="B14" s="27" t="s">
        <v>103</v>
      </c>
      <c r="D14" s="39" t="n">
        <f aca="false">Inputs!$G$6</f>
        <v>12</v>
      </c>
    </row>
    <row r="15" customFormat="false" ht="15" hidden="false" customHeight="false" outlineLevel="0" collapsed="false">
      <c r="B15" s="22" t="s">
        <v>104</v>
      </c>
      <c r="D15" s="30" t="n">
        <f aca="false">Peers!$D$14/Peers!$D$12-1</f>
        <v>0.243523316062176</v>
      </c>
    </row>
    <row r="17" customFormat="false" ht="15.75" hidden="false" customHeight="true" outlineLevel="0" collapsed="false">
      <c r="B17" s="26" t="s">
        <v>105</v>
      </c>
      <c r="C17" s="1"/>
      <c r="D17" s="1"/>
      <c r="E17" s="1"/>
      <c r="F17" s="1"/>
      <c r="G17" s="1"/>
    </row>
    <row r="18" customFormat="false" ht="18" hidden="false" customHeight="true" outlineLevel="0" collapsed="false">
      <c r="B18" s="27" t="s">
        <v>80</v>
      </c>
      <c r="C18" s="28" t="s">
        <v>81</v>
      </c>
      <c r="D18" s="28" t="s">
        <v>82</v>
      </c>
      <c r="E18" s="28" t="s">
        <v>83</v>
      </c>
      <c r="F18" s="28" t="s">
        <v>84</v>
      </c>
      <c r="G18" s="28" t="s">
        <v>85</v>
      </c>
    </row>
    <row r="19" customFormat="false" ht="15" hidden="false" customHeight="false" outlineLevel="0" collapsed="false">
      <c r="B19" s="22" t="s">
        <v>106</v>
      </c>
      <c r="C19" s="22" t="s">
        <v>107</v>
      </c>
      <c r="D19" s="32" t="n">
        <v>44.9</v>
      </c>
      <c r="E19" s="37" t="n">
        <v>1</v>
      </c>
      <c r="F19" s="38" t="n">
        <f aca="false">IF(E19=1,D19,"")</f>
        <v>44.9</v>
      </c>
      <c r="G19" s="5" t="s">
        <v>108</v>
      </c>
    </row>
    <row r="20" customFormat="false" ht="15" hidden="false" customHeight="false" outlineLevel="0" collapsed="false">
      <c r="B20" s="22" t="s">
        <v>109</v>
      </c>
      <c r="C20" s="22" t="s">
        <v>110</v>
      </c>
      <c r="D20" s="32" t="n">
        <v>50.7</v>
      </c>
      <c r="E20" s="37" t="n">
        <v>1</v>
      </c>
      <c r="F20" s="38" t="n">
        <f aca="false">IF(E20=1,D20,"")</f>
        <v>50.7</v>
      </c>
      <c r="G20" s="5" t="s">
        <v>111</v>
      </c>
    </row>
    <row r="21" customFormat="false" ht="15" hidden="false" customHeight="false" outlineLevel="0" collapsed="false">
      <c r="B21" s="22" t="s">
        <v>112</v>
      </c>
      <c r="C21" s="22" t="s">
        <v>113</v>
      </c>
      <c r="D21" s="32" t="n">
        <v>20.8</v>
      </c>
      <c r="E21" s="37" t="n">
        <v>1</v>
      </c>
      <c r="F21" s="38" t="n">
        <f aca="false">IF(E21=1,D21,"")</f>
        <v>20.8</v>
      </c>
      <c r="G21" s="5"/>
    </row>
    <row r="22" customFormat="false" ht="15" hidden="false" customHeight="false" outlineLevel="0" collapsed="false">
      <c r="B22" s="22" t="s">
        <v>114</v>
      </c>
      <c r="C22" s="22" t="s">
        <v>115</v>
      </c>
      <c r="D22" s="32" t="n">
        <v>27.9</v>
      </c>
      <c r="E22" s="37" t="n">
        <v>1</v>
      </c>
      <c r="F22" s="38" t="n">
        <f aca="false">IF(E22=1,D22,"")</f>
        <v>27.9</v>
      </c>
      <c r="G22" s="5"/>
    </row>
    <row r="23" customFormat="false" ht="15" hidden="false" customHeight="false" outlineLevel="0" collapsed="false">
      <c r="B23" s="22" t="s">
        <v>116</v>
      </c>
      <c r="C23" s="22" t="s">
        <v>117</v>
      </c>
      <c r="D23" s="32" t="n">
        <v>10.1</v>
      </c>
      <c r="E23" s="37" t="n">
        <v>1</v>
      </c>
      <c r="F23" s="38" t="n">
        <f aca="false">IF(E23=1,D23,"")</f>
        <v>10.1</v>
      </c>
      <c r="G23" s="5"/>
    </row>
    <row r="24" customFormat="false" ht="15" hidden="false" customHeight="false" outlineLevel="0" collapsed="false">
      <c r="B24" s="27" t="s">
        <v>101</v>
      </c>
      <c r="D24" s="38" t="n">
        <f aca="false">MEDIAN($F$19:$F$23)</f>
        <v>27.9</v>
      </c>
    </row>
    <row r="25" customFormat="false" ht="15" hidden="false" customHeight="false" outlineLevel="0" collapsed="false">
      <c r="B25" s="22" t="s">
        <v>102</v>
      </c>
      <c r="D25" s="38" t="n">
        <f aca="false">AVERAGE($F$19:$F$23)</f>
        <v>30.88</v>
      </c>
    </row>
    <row r="26" customFormat="false" ht="15" hidden="false" customHeight="false" outlineLevel="0" collapsed="false">
      <c r="B26" s="27" t="s">
        <v>103</v>
      </c>
      <c r="D26" s="39" t="n">
        <f aca="false">Inputs!$G$7</f>
        <v>25</v>
      </c>
    </row>
    <row r="27" customFormat="false" ht="15" hidden="false" customHeight="false" outlineLevel="0" collapsed="false">
      <c r="B27" s="22" t="s">
        <v>104</v>
      </c>
      <c r="D27" s="30" t="n">
        <f aca="false">Peers!$D$26/Peers!$D$24-1</f>
        <v>-0.103942652329749</v>
      </c>
    </row>
    <row r="29" customFormat="false" ht="15.75" hidden="false" customHeight="true" outlineLevel="0" collapsed="false">
      <c r="B29" s="26" t="s">
        <v>118</v>
      </c>
      <c r="C29" s="1"/>
      <c r="D29" s="1"/>
      <c r="E29" s="1"/>
      <c r="F29" s="1"/>
      <c r="G29" s="1"/>
    </row>
    <row r="30" customFormat="false" ht="18" hidden="false" customHeight="true" outlineLevel="0" collapsed="false">
      <c r="B30" s="27" t="s">
        <v>80</v>
      </c>
      <c r="C30" s="28" t="s">
        <v>81</v>
      </c>
      <c r="D30" s="28" t="s">
        <v>82</v>
      </c>
      <c r="E30" s="28" t="s">
        <v>83</v>
      </c>
      <c r="F30" s="28" t="s">
        <v>84</v>
      </c>
      <c r="G30" s="28" t="s">
        <v>85</v>
      </c>
    </row>
    <row r="31" customFormat="false" ht="15" hidden="false" customHeight="false" outlineLevel="0" collapsed="false">
      <c r="B31" s="22" t="s">
        <v>119</v>
      </c>
      <c r="C31" s="22" t="s">
        <v>120</v>
      </c>
      <c r="D31" s="32" t="n">
        <v>5.6</v>
      </c>
      <c r="E31" s="37" t="n">
        <v>1</v>
      </c>
      <c r="F31" s="38" t="n">
        <f aca="false">IF(E31=1,D31,"")</f>
        <v>5.6</v>
      </c>
      <c r="G31" s="5" t="s">
        <v>121</v>
      </c>
    </row>
    <row r="32" customFormat="false" ht="15" hidden="false" customHeight="false" outlineLevel="0" collapsed="false">
      <c r="B32" s="22" t="s">
        <v>122</v>
      </c>
      <c r="C32" s="22" t="s">
        <v>123</v>
      </c>
      <c r="D32" s="32" t="n">
        <v>4.6</v>
      </c>
      <c r="E32" s="37" t="n">
        <v>1</v>
      </c>
      <c r="F32" s="38" t="n">
        <f aca="false">IF(E32=1,D32,"")</f>
        <v>4.6</v>
      </c>
      <c r="G32" s="5"/>
    </row>
    <row r="33" customFormat="false" ht="15" hidden="false" customHeight="false" outlineLevel="0" collapsed="false">
      <c r="B33" s="22" t="s">
        <v>124</v>
      </c>
      <c r="C33" s="22" t="s">
        <v>125</v>
      </c>
      <c r="D33" s="32" t="n">
        <v>9.4</v>
      </c>
      <c r="E33" s="37" t="n">
        <v>1</v>
      </c>
      <c r="F33" s="38" t="n">
        <f aca="false">IF(E33=1,D33,"")</f>
        <v>9.4</v>
      </c>
      <c r="G33" s="5"/>
    </row>
    <row r="34" customFormat="false" ht="15" hidden="false" customHeight="false" outlineLevel="0" collapsed="false">
      <c r="B34" s="22" t="s">
        <v>126</v>
      </c>
      <c r="C34" s="22" t="s">
        <v>127</v>
      </c>
      <c r="D34" s="32" t="n">
        <v>9.9</v>
      </c>
      <c r="E34" s="37" t="n">
        <v>1</v>
      </c>
      <c r="F34" s="38" t="n">
        <f aca="false">IF(E34=1,D34,"")</f>
        <v>9.9</v>
      </c>
      <c r="G34" s="5"/>
    </row>
    <row r="35" customFormat="false" ht="15" hidden="false" customHeight="false" outlineLevel="0" collapsed="false">
      <c r="B35" s="22" t="s">
        <v>128</v>
      </c>
      <c r="C35" s="22" t="s">
        <v>129</v>
      </c>
      <c r="D35" s="32" t="n">
        <v>9.1</v>
      </c>
      <c r="E35" s="37" t="n">
        <v>1</v>
      </c>
      <c r="F35" s="38" t="n">
        <f aca="false">IF(E35=1,D35,"")</f>
        <v>9.1</v>
      </c>
      <c r="G35" s="5" t="s">
        <v>130</v>
      </c>
    </row>
    <row r="36" customFormat="false" ht="15" hidden="false" customHeight="false" outlineLevel="0" collapsed="false">
      <c r="B36" s="22" t="s">
        <v>131</v>
      </c>
      <c r="C36" s="22" t="s">
        <v>132</v>
      </c>
      <c r="D36" s="32" t="n">
        <v>9.6</v>
      </c>
      <c r="E36" s="37" t="n">
        <v>1</v>
      </c>
      <c r="F36" s="38" t="n">
        <f aca="false">IF(E36=1,D36,"")</f>
        <v>9.6</v>
      </c>
      <c r="G36" s="5" t="s">
        <v>130</v>
      </c>
    </row>
    <row r="37" customFormat="false" ht="15" hidden="false" customHeight="false" outlineLevel="0" collapsed="false">
      <c r="B37" s="22" t="s">
        <v>133</v>
      </c>
      <c r="C37" s="22" t="s">
        <v>134</v>
      </c>
      <c r="D37" s="32" t="n">
        <v>13.4</v>
      </c>
      <c r="E37" s="37" t="n">
        <v>0</v>
      </c>
      <c r="F37" s="38" t="str">
        <f aca="false">IF(E37=1,D37,"")</f>
        <v/>
      </c>
      <c r="G37" s="5" t="s">
        <v>135</v>
      </c>
    </row>
    <row r="38" customFormat="false" ht="15" hidden="false" customHeight="false" outlineLevel="0" collapsed="false">
      <c r="B38" s="27" t="s">
        <v>101</v>
      </c>
      <c r="D38" s="38" t="n">
        <f aca="false">MEDIAN($F$31:$F$37)</f>
        <v>9.25</v>
      </c>
    </row>
    <row r="39" customFormat="false" ht="15" hidden="false" customHeight="false" outlineLevel="0" collapsed="false">
      <c r="B39" s="22" t="s">
        <v>102</v>
      </c>
      <c r="D39" s="38" t="n">
        <f aca="false">AVERAGE($F$31:$F$37)</f>
        <v>8.03333333333333</v>
      </c>
    </row>
    <row r="40" customFormat="false" ht="15" hidden="false" customHeight="false" outlineLevel="0" collapsed="false">
      <c r="B40" s="27" t="s">
        <v>103</v>
      </c>
      <c r="D40" s="39" t="n">
        <f aca="false">Inputs!$G$8</f>
        <v>7.5</v>
      </c>
    </row>
    <row r="41" customFormat="false" ht="15" hidden="false" customHeight="false" outlineLevel="0" collapsed="false">
      <c r="B41" s="22" t="s">
        <v>104</v>
      </c>
      <c r="D41" s="30" t="n">
        <f aca="false">Peers!$D$40/Peers!$D$38-1</f>
        <v>-0.189189189189189</v>
      </c>
    </row>
    <row r="43" customFormat="false" ht="15.75" hidden="false" customHeight="true" outlineLevel="0" collapsed="false">
      <c r="B43" s="26" t="s">
        <v>136</v>
      </c>
      <c r="C43" s="1"/>
      <c r="D43" s="1"/>
      <c r="E43" s="1"/>
      <c r="F43" s="1"/>
      <c r="G43" s="1"/>
    </row>
    <row r="44" customFormat="false" ht="18" hidden="false" customHeight="true" outlineLevel="0" collapsed="false">
      <c r="B44" s="27" t="s">
        <v>80</v>
      </c>
      <c r="C44" s="28" t="s">
        <v>81</v>
      </c>
      <c r="D44" s="28" t="s">
        <v>82</v>
      </c>
      <c r="E44" s="28" t="s">
        <v>83</v>
      </c>
      <c r="F44" s="28" t="s">
        <v>84</v>
      </c>
      <c r="G44" s="28" t="s">
        <v>85</v>
      </c>
    </row>
    <row r="45" customFormat="false" ht="15" hidden="false" customHeight="false" outlineLevel="0" collapsed="false">
      <c r="B45" s="22" t="s">
        <v>137</v>
      </c>
      <c r="C45" s="22" t="s">
        <v>138</v>
      </c>
      <c r="D45" s="32" t="n">
        <v>4.5</v>
      </c>
      <c r="E45" s="37" t="n">
        <v>1</v>
      </c>
      <c r="F45" s="38" t="n">
        <f aca="false">IF(E45=1,D45,"")</f>
        <v>4.5</v>
      </c>
      <c r="G45" s="5" t="s">
        <v>139</v>
      </c>
    </row>
    <row r="46" customFormat="false" ht="15" hidden="false" customHeight="false" outlineLevel="0" collapsed="false">
      <c r="B46" s="22" t="s">
        <v>140</v>
      </c>
      <c r="C46" s="22" t="s">
        <v>141</v>
      </c>
      <c r="D46" s="32" t="n">
        <v>6.9</v>
      </c>
      <c r="E46" s="37" t="n">
        <v>1</v>
      </c>
      <c r="F46" s="38" t="n">
        <f aca="false">IF(E46=1,D46,"")</f>
        <v>6.9</v>
      </c>
      <c r="G46" s="5"/>
    </row>
    <row r="47" customFormat="false" ht="15" hidden="false" customHeight="false" outlineLevel="0" collapsed="false">
      <c r="B47" s="22" t="s">
        <v>142</v>
      </c>
      <c r="C47" s="22" t="s">
        <v>143</v>
      </c>
      <c r="D47" s="32" t="n">
        <v>10.4</v>
      </c>
      <c r="E47" s="37" t="n">
        <v>1</v>
      </c>
      <c r="F47" s="38" t="n">
        <f aca="false">IF(E47=1,D47,"")</f>
        <v>10.4</v>
      </c>
      <c r="G47" s="5"/>
    </row>
    <row r="48" customFormat="false" ht="15" hidden="false" customHeight="false" outlineLevel="0" collapsed="false">
      <c r="B48" s="22" t="s">
        <v>144</v>
      </c>
      <c r="C48" s="22" t="s">
        <v>145</v>
      </c>
      <c r="D48" s="32" t="n">
        <v>8.9</v>
      </c>
      <c r="E48" s="37" t="n">
        <v>1</v>
      </c>
      <c r="F48" s="38" t="n">
        <f aca="false">IF(E48=1,D48,"")</f>
        <v>8.9</v>
      </c>
      <c r="G48" s="5"/>
    </row>
    <row r="49" customFormat="false" ht="15" hidden="false" customHeight="false" outlineLevel="0" collapsed="false">
      <c r="B49" s="22" t="s">
        <v>146</v>
      </c>
      <c r="C49" s="22" t="s">
        <v>146</v>
      </c>
      <c r="D49" s="32" t="n">
        <v>13.4</v>
      </c>
      <c r="E49" s="37" t="n">
        <v>1</v>
      </c>
      <c r="F49" s="38" t="n">
        <f aca="false">IF(E49=1,D49,"")</f>
        <v>13.4</v>
      </c>
      <c r="G49" s="5"/>
    </row>
    <row r="50" customFormat="false" ht="15" hidden="false" customHeight="false" outlineLevel="0" collapsed="false">
      <c r="B50" s="22" t="s">
        <v>147</v>
      </c>
      <c r="C50" s="22" t="s">
        <v>148</v>
      </c>
      <c r="D50" s="32" t="n">
        <v>9.7</v>
      </c>
      <c r="E50" s="37" t="n">
        <v>1</v>
      </c>
      <c r="F50" s="38" t="n">
        <f aca="false">IF(E50=1,D50,"")</f>
        <v>9.7</v>
      </c>
      <c r="G50" s="5"/>
    </row>
    <row r="51" customFormat="false" ht="15" hidden="false" customHeight="false" outlineLevel="0" collapsed="false">
      <c r="B51" s="27" t="s">
        <v>101</v>
      </c>
      <c r="D51" s="38" t="n">
        <f aca="false">MEDIAN($F$45:$F$50)</f>
        <v>9.3</v>
      </c>
    </row>
    <row r="52" customFormat="false" ht="15" hidden="false" customHeight="false" outlineLevel="0" collapsed="false">
      <c r="B52" s="22" t="s">
        <v>102</v>
      </c>
      <c r="D52" s="38" t="n">
        <f aca="false">AVERAGE($F$45:$F$50)</f>
        <v>8.96666666666667</v>
      </c>
    </row>
    <row r="53" customFormat="false" ht="15" hidden="false" customHeight="false" outlineLevel="0" collapsed="false">
      <c r="B53" s="27" t="s">
        <v>103</v>
      </c>
      <c r="D53" s="39" t="n">
        <f aca="false">Inputs!$G$9</f>
        <v>5</v>
      </c>
    </row>
    <row r="54" customFormat="false" ht="15" hidden="false" customHeight="false" outlineLevel="0" collapsed="false">
      <c r="B54" s="22" t="s">
        <v>104</v>
      </c>
      <c r="D54" s="30" t="n">
        <f aca="false">Peers!$D$53/Peers!$D$51-1</f>
        <v>-0.46236559139785</v>
      </c>
    </row>
    <row r="56" customFormat="false" ht="15.75" hidden="false" customHeight="true" outlineLevel="0" collapsed="false">
      <c r="B56" s="26" t="s">
        <v>149</v>
      </c>
      <c r="C56" s="1"/>
      <c r="D56" s="1"/>
      <c r="E56" s="1"/>
      <c r="F56" s="1"/>
      <c r="G56" s="1"/>
    </row>
    <row r="57" customFormat="false" ht="18" hidden="false" customHeight="true" outlineLevel="0" collapsed="false">
      <c r="B57" s="27" t="s">
        <v>80</v>
      </c>
      <c r="C57" s="28" t="s">
        <v>81</v>
      </c>
      <c r="D57" s="28" t="s">
        <v>82</v>
      </c>
      <c r="E57" s="28" t="s">
        <v>83</v>
      </c>
      <c r="F57" s="28" t="s">
        <v>84</v>
      </c>
      <c r="G57" s="28" t="s">
        <v>85</v>
      </c>
    </row>
    <row r="58" customFormat="false" ht="15" hidden="false" customHeight="false" outlineLevel="0" collapsed="false">
      <c r="B58" s="22" t="s">
        <v>150</v>
      </c>
      <c r="C58" s="22" t="s">
        <v>151</v>
      </c>
      <c r="D58" s="32" t="n">
        <v>11</v>
      </c>
      <c r="E58" s="37" t="n">
        <v>1</v>
      </c>
      <c r="F58" s="38" t="n">
        <f aca="false">IF(E58=1,D58,"")</f>
        <v>11</v>
      </c>
      <c r="G58" s="5" t="s">
        <v>152</v>
      </c>
    </row>
    <row r="59" customFormat="false" ht="15" hidden="false" customHeight="false" outlineLevel="0" collapsed="false">
      <c r="B59" s="22" t="s">
        <v>153</v>
      </c>
      <c r="C59" s="22" t="s">
        <v>154</v>
      </c>
      <c r="D59" s="32" t="n">
        <v>21.8</v>
      </c>
      <c r="E59" s="37" t="n">
        <v>1</v>
      </c>
      <c r="F59" s="38" t="n">
        <f aca="false">IF(E59=1,D59,"")</f>
        <v>21.8</v>
      </c>
      <c r="G59" s="5" t="s">
        <v>155</v>
      </c>
    </row>
    <row r="60" customFormat="false" ht="15" hidden="false" customHeight="false" outlineLevel="0" collapsed="false">
      <c r="B60" s="22" t="s">
        <v>156</v>
      </c>
      <c r="C60" s="22" t="s">
        <v>157</v>
      </c>
      <c r="D60" s="32" t="n">
        <v>21</v>
      </c>
      <c r="E60" s="37" t="n">
        <v>1</v>
      </c>
      <c r="F60" s="38" t="n">
        <f aca="false">IF(E60=1,D60,"")</f>
        <v>21</v>
      </c>
      <c r="G60" s="5" t="s">
        <v>158</v>
      </c>
    </row>
    <row r="61" customFormat="false" ht="15" hidden="false" customHeight="false" outlineLevel="0" collapsed="false">
      <c r="B61" s="22" t="s">
        <v>159</v>
      </c>
      <c r="C61" s="22" t="s">
        <v>160</v>
      </c>
      <c r="D61" s="32" t="n">
        <v>4.8</v>
      </c>
      <c r="E61" s="37" t="n">
        <v>1</v>
      </c>
      <c r="F61" s="38" t="n">
        <f aca="false">IF(E61=1,D61,"")</f>
        <v>4.8</v>
      </c>
      <c r="G61" s="5" t="s">
        <v>158</v>
      </c>
    </row>
    <row r="62" customFormat="false" ht="15" hidden="false" customHeight="false" outlineLevel="0" collapsed="false">
      <c r="B62" s="27" t="s">
        <v>101</v>
      </c>
      <c r="D62" s="38" t="n">
        <f aca="false">MEDIAN($F$58:$F$61)</f>
        <v>16</v>
      </c>
    </row>
    <row r="63" customFormat="false" ht="15" hidden="false" customHeight="false" outlineLevel="0" collapsed="false">
      <c r="B63" s="22" t="s">
        <v>102</v>
      </c>
      <c r="D63" s="38" t="n">
        <f aca="false">AVERAGE($F$58:$F$61)</f>
        <v>14.65</v>
      </c>
    </row>
    <row r="64" customFormat="false" ht="15" hidden="false" customHeight="false" outlineLevel="0" collapsed="false">
      <c r="B64" s="27" t="s">
        <v>103</v>
      </c>
      <c r="D64" s="39" t="n">
        <f aca="false">Inputs!$G$10</f>
        <v>10</v>
      </c>
    </row>
    <row r="65" customFormat="false" ht="15" hidden="false" customHeight="false" outlineLevel="0" collapsed="false">
      <c r="B65" s="22" t="s">
        <v>104</v>
      </c>
      <c r="D65" s="30" t="n">
        <f aca="false">Peers!$D$64/Peers!$D$62-1</f>
        <v>-0.375</v>
      </c>
    </row>
    <row r="67" customFormat="false" ht="48" hidden="false" customHeight="true" outlineLevel="0" collapsed="false">
      <c r="B67" s="21" t="s">
        <v>161</v>
      </c>
      <c r="C67" s="21"/>
      <c r="D67" s="21"/>
      <c r="E67" s="21"/>
      <c r="F67" s="21"/>
      <c r="G67" s="21"/>
    </row>
  </sheetData>
  <mergeCells count="1">
    <mergeCell ref="B67:G67"/>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&amp;L&amp;"Arial,Bold"&amp;8Reliance Industries — Sum-of-the-Parts Valuation&amp;R&amp;"Arial,Regular"&amp;8Peers</oddHeader>
    <oddFooter>&amp;L&amp;"Arial,Regular"&amp;8Jainam Mehta · github.com/jainammehta1215/ib-portfolio&amp;C&amp;"Arial,Regular"&amp;8Blue = input · Black = formula · Green = link&amp;R&amp;"Arial,Regular"&amp;8Page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50"/>
    <col collapsed="false" customWidth="true" hidden="false" outlineLevel="0" max="8" min="3" style="0" width="14"/>
    <col collapsed="false" customWidth="true" hidden="false" outlineLevel="0" max="9" min="9" style="0" width="46"/>
  </cols>
  <sheetData>
    <row r="1" customFormat="false" ht="30" hidden="false" customHeight="true" outlineLevel="0" collapsed="false">
      <c r="A1" s="1"/>
      <c r="B1" s="23" t="s">
        <v>39</v>
      </c>
      <c r="C1" s="1"/>
      <c r="D1" s="1"/>
      <c r="E1" s="1"/>
      <c r="F1" s="1"/>
      <c r="G1" s="1"/>
      <c r="H1" s="1"/>
      <c r="I1" s="24" t="s">
        <v>40</v>
      </c>
    </row>
    <row r="2" customFormat="false" ht="18" hidden="false" customHeight="true" outlineLevel="0" collapsed="false">
      <c r="A2" s="1"/>
      <c r="B2" s="25" t="s">
        <v>162</v>
      </c>
      <c r="C2" s="1"/>
      <c r="D2" s="1"/>
      <c r="E2" s="1"/>
      <c r="F2" s="1"/>
      <c r="G2" s="1"/>
      <c r="H2" s="1"/>
      <c r="I2" s="1"/>
    </row>
    <row r="4" customFormat="false" ht="15.75" hidden="false" customHeight="true" outlineLevel="0" collapsed="false">
      <c r="B4" s="26" t="s">
        <v>163</v>
      </c>
      <c r="C4" s="1"/>
      <c r="D4" s="1"/>
      <c r="E4" s="1"/>
      <c r="F4" s="1"/>
      <c r="G4" s="1"/>
      <c r="H4" s="1"/>
      <c r="I4" s="1"/>
    </row>
    <row r="5" customFormat="false" ht="18" hidden="false" customHeight="true" outlineLevel="0" collapsed="false">
      <c r="B5" s="27" t="s">
        <v>43</v>
      </c>
      <c r="C5" s="28" t="s">
        <v>164</v>
      </c>
      <c r="D5" s="28" t="s">
        <v>48</v>
      </c>
      <c r="E5" s="28" t="s">
        <v>165</v>
      </c>
      <c r="F5" s="28" t="s">
        <v>47</v>
      </c>
      <c r="G5" s="28" t="s">
        <v>166</v>
      </c>
      <c r="H5" s="28" t="s">
        <v>167</v>
      </c>
      <c r="I5" s="28" t="s">
        <v>168</v>
      </c>
    </row>
    <row r="6" customFormat="false" ht="15" hidden="false" customHeight="false" outlineLevel="0" collapsed="false">
      <c r="B6" s="22" t="s">
        <v>51</v>
      </c>
      <c r="C6" s="40" t="n">
        <f aca="false">Inputs!$D$6</f>
        <v>76560</v>
      </c>
      <c r="D6" s="39" t="n">
        <f aca="false">Inputs!$G$6</f>
        <v>12</v>
      </c>
      <c r="E6" s="35" t="n">
        <f aca="false">C6*D6</f>
        <v>918720</v>
      </c>
      <c r="F6" s="41" t="n">
        <f aca="false">Inputs!$F$6</f>
        <v>0.6703</v>
      </c>
      <c r="G6" s="35" t="n">
        <f aca="false">E6*F6</f>
        <v>615818.016</v>
      </c>
      <c r="H6" s="30" t="n">
        <f aca="false">G6/SOTP!$G$11</f>
        <v>0.333124712196756</v>
      </c>
      <c r="I6" s="42" t="n">
        <f aca="false">G6/Inputs!$C$26</f>
        <v>455.065964160355</v>
      </c>
    </row>
    <row r="7" customFormat="false" ht="15" hidden="false" customHeight="false" outlineLevel="0" collapsed="false">
      <c r="B7" s="22" t="s">
        <v>52</v>
      </c>
      <c r="C7" s="40" t="n">
        <f aca="false">Inputs!$D$7</f>
        <v>27034</v>
      </c>
      <c r="D7" s="39" t="n">
        <f aca="false">Inputs!$G$7</f>
        <v>25</v>
      </c>
      <c r="E7" s="35" t="n">
        <f aca="false">C7*D7</f>
        <v>675850</v>
      </c>
      <c r="F7" s="41" t="n">
        <f aca="false">Inputs!$F$7</f>
        <v>0.8506</v>
      </c>
      <c r="G7" s="35" t="n">
        <f aca="false">E7*F7</f>
        <v>574878.01</v>
      </c>
      <c r="H7" s="30" t="n">
        <f aca="false">G7/SOTP!$G$11</f>
        <v>0.310978351808229</v>
      </c>
      <c r="I7" s="42" t="n">
        <f aca="false">G7/Inputs!$C$26</f>
        <v>424.81286532422</v>
      </c>
    </row>
    <row r="8" customFormat="false" ht="15" hidden="false" customHeight="false" outlineLevel="0" collapsed="false">
      <c r="B8" s="22" t="s">
        <v>53</v>
      </c>
      <c r="C8" s="40" t="n">
        <f aca="false">Inputs!$D$8</f>
        <v>60546</v>
      </c>
      <c r="D8" s="39" t="n">
        <f aca="false">Inputs!$G$8</f>
        <v>7.5</v>
      </c>
      <c r="E8" s="35" t="n">
        <f aca="false">C8*D8</f>
        <v>454095</v>
      </c>
      <c r="F8" s="41" t="n">
        <f aca="false">Inputs!$F$8</f>
        <v>1</v>
      </c>
      <c r="G8" s="35" t="n">
        <f aca="false">E8*F8</f>
        <v>454095</v>
      </c>
      <c r="H8" s="30" t="n">
        <f aca="false">G8/SOTP!$G$11</f>
        <v>0.24564118336055</v>
      </c>
      <c r="I8" s="42" t="n">
        <f aca="false">G8/Inputs!$C$26</f>
        <v>335.558839830039</v>
      </c>
    </row>
    <row r="9" customFormat="false" ht="15" hidden="false" customHeight="false" outlineLevel="0" collapsed="false">
      <c r="B9" s="22" t="s">
        <v>54</v>
      </c>
      <c r="C9" s="40" t="n">
        <f aca="false">Inputs!$D$9</f>
        <v>19050</v>
      </c>
      <c r="D9" s="39" t="n">
        <f aca="false">Inputs!$G$9</f>
        <v>5</v>
      </c>
      <c r="E9" s="35" t="n">
        <f aca="false">C9*D9</f>
        <v>95250</v>
      </c>
      <c r="F9" s="41" t="n">
        <f aca="false">Inputs!$F$9</f>
        <v>1</v>
      </c>
      <c r="G9" s="35" t="n">
        <f aca="false">E9*F9</f>
        <v>95250</v>
      </c>
      <c r="H9" s="30" t="n">
        <f aca="false">G9/SOTP!$G$11</f>
        <v>0.0515251714180785</v>
      </c>
      <c r="I9" s="42" t="n">
        <f aca="false">G9/Inputs!$C$26</f>
        <v>70.3861075189359</v>
      </c>
    </row>
    <row r="10" customFormat="false" ht="15" hidden="false" customHeight="false" outlineLevel="0" collapsed="false">
      <c r="B10" s="22" t="s">
        <v>55</v>
      </c>
      <c r="C10" s="40" t="n">
        <f aca="false">Inputs!$D$10</f>
        <v>10857</v>
      </c>
      <c r="D10" s="39" t="n">
        <f aca="false">Inputs!$G$10</f>
        <v>10</v>
      </c>
      <c r="E10" s="35" t="n">
        <f aca="false">C10*D10</f>
        <v>108570</v>
      </c>
      <c r="F10" s="41" t="n">
        <f aca="false">Inputs!$F$10</f>
        <v>1</v>
      </c>
      <c r="G10" s="35" t="n">
        <f aca="false">E10*F10</f>
        <v>108570</v>
      </c>
      <c r="H10" s="30" t="n">
        <f aca="false">G10/SOTP!$G$11</f>
        <v>0.0587305812163862</v>
      </c>
      <c r="I10" s="42" t="n">
        <f aca="false">G10/Inputs!$C$26</f>
        <v>80.229078145206</v>
      </c>
    </row>
    <row r="11" customFormat="false" ht="15" hidden="false" customHeight="false" outlineLevel="0" collapsed="false">
      <c r="B11" s="27" t="s">
        <v>169</v>
      </c>
      <c r="G11" s="33" t="n">
        <f aca="false">SUM(G6:G10)</f>
        <v>1848611.026</v>
      </c>
      <c r="I11" s="42" t="n">
        <f aca="false">SOTP!$G$11/Inputs!$C$26</f>
        <v>1366.05285497875</v>
      </c>
    </row>
    <row r="13" customFormat="false" ht="15.75" hidden="false" customHeight="true" outlineLevel="0" collapsed="false">
      <c r="B13" s="26" t="s">
        <v>170</v>
      </c>
      <c r="C13" s="1"/>
      <c r="D13" s="1"/>
      <c r="E13" s="1"/>
      <c r="F13" s="1"/>
      <c r="G13" s="1"/>
      <c r="H13" s="1"/>
      <c r="I13" s="1"/>
    </row>
    <row r="14" customFormat="false" ht="15" hidden="false" customHeight="false" outlineLevel="0" collapsed="false">
      <c r="B14" s="22" t="s">
        <v>171</v>
      </c>
      <c r="G14" s="40" t="n">
        <f aca="false">-Inputs!$C$20</f>
        <v>-247848</v>
      </c>
    </row>
    <row r="15" customFormat="false" ht="15" hidden="false" customHeight="false" outlineLevel="0" collapsed="false">
      <c r="B15" s="27" t="s">
        <v>172</v>
      </c>
      <c r="G15" s="33" t="n">
        <f aca="false">SOTP!$G$11+SOTP!$G$14</f>
        <v>1600763.026</v>
      </c>
    </row>
    <row r="16" customFormat="false" ht="15" hidden="false" customHeight="false" outlineLevel="0" collapsed="false">
      <c r="B16" s="22" t="s">
        <v>173</v>
      </c>
      <c r="G16" s="35" t="n">
        <f aca="false">-SOTP!$G$15*Inputs!$C$22</f>
        <v>-160076.3026</v>
      </c>
    </row>
    <row r="17" customFormat="false" ht="15" hidden="false" customHeight="false" outlineLevel="0" collapsed="false">
      <c r="B17" s="27" t="s">
        <v>174</v>
      </c>
      <c r="G17" s="43" t="n">
        <f aca="false">SOTP!$G$15+SOTP!$G$16</f>
        <v>1440686.7234</v>
      </c>
    </row>
    <row r="19" customFormat="false" ht="15.75" hidden="false" customHeight="true" outlineLevel="0" collapsed="false">
      <c r="B19" s="26" t="s">
        <v>175</v>
      </c>
      <c r="C19" s="1"/>
      <c r="D19" s="1"/>
      <c r="E19" s="1"/>
      <c r="F19" s="1"/>
      <c r="G19" s="1"/>
      <c r="H19" s="1"/>
      <c r="I19" s="1"/>
    </row>
    <row r="20" customFormat="false" ht="15" hidden="false" customHeight="false" outlineLevel="0" collapsed="false">
      <c r="B20" s="22" t="s">
        <v>176</v>
      </c>
      <c r="G20" s="42" t="n">
        <f aca="false">SOTP!$G$11/Inputs!$C$26</f>
        <v>1366.05285497875</v>
      </c>
    </row>
    <row r="21" customFormat="false" ht="15" hidden="false" customHeight="false" outlineLevel="0" collapsed="false">
      <c r="B21" s="22" t="s">
        <v>177</v>
      </c>
      <c r="G21" s="42" t="n">
        <f aca="false">SOTP!$G$15/Inputs!$C$26</f>
        <v>1182.90266100129</v>
      </c>
    </row>
    <row r="22" customFormat="false" ht="15" hidden="false" customHeight="false" outlineLevel="0" collapsed="false">
      <c r="B22" s="27" t="s">
        <v>21</v>
      </c>
      <c r="G22" s="44" t="n">
        <f aca="false">SOTP!$G$17/Inputs!$C$26</f>
        <v>1064.61239490116</v>
      </c>
    </row>
    <row r="23" customFormat="false" ht="15" hidden="false" customHeight="false" outlineLevel="0" collapsed="false">
      <c r="B23" s="22" t="s">
        <v>22</v>
      </c>
      <c r="G23" s="45" t="n">
        <f aca="false">Inputs!$C$25</f>
        <v>1244.6</v>
      </c>
    </row>
    <row r="24" customFormat="false" ht="15" hidden="false" customHeight="false" outlineLevel="0" collapsed="false">
      <c r="B24" s="27" t="s">
        <v>178</v>
      </c>
      <c r="G24" s="30" t="n">
        <f aca="false">SOTP!$G$22/SOTP!$G$23-1</f>
        <v>-0.144614820101909</v>
      </c>
    </row>
    <row r="25" customFormat="false" ht="15" hidden="false" customHeight="false" outlineLevel="0" collapsed="false">
      <c r="B25" s="22" t="s">
        <v>179</v>
      </c>
      <c r="G25" s="38" t="n">
        <f aca="false">(SOTP!$G$17+Inputs!$C$20)/Inputs!$D$11</f>
        <v>8.70167909527073</v>
      </c>
    </row>
    <row r="26" customFormat="false" ht="15" hidden="false" customHeight="false" outlineLevel="0" collapsed="false">
      <c r="B26" s="22" t="s">
        <v>180</v>
      </c>
      <c r="G26" s="38" t="n">
        <f aca="false">(Inputs!$C$27+Inputs!$C$20)/Inputs!$D$11</f>
        <v>9.95688132256618</v>
      </c>
    </row>
    <row r="27" customFormat="false" ht="15" hidden="false" customHeight="false" outlineLevel="0" collapsed="false">
      <c r="B27" s="22" t="s">
        <v>181</v>
      </c>
      <c r="G27" s="38" t="n">
        <f aca="false">SOTP!$G$22/Inputs!$C$28</f>
        <v>17.8356909851091</v>
      </c>
    </row>
    <row r="29" customFormat="false" ht="43.5" hidden="false" customHeight="true" outlineLevel="0" collapsed="false">
      <c r="B29" s="21" t="s">
        <v>182</v>
      </c>
      <c r="C29" s="21"/>
      <c r="D29" s="21"/>
      <c r="E29" s="21"/>
      <c r="F29" s="21"/>
      <c r="G29" s="21"/>
      <c r="H29" s="21"/>
      <c r="I29" s="21"/>
    </row>
  </sheetData>
  <mergeCells count="1">
    <mergeCell ref="B29:I29"/>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&amp;L&amp;"Arial,Bold"&amp;8Reliance Industries — Sum-of-the-Parts Valuation&amp;R&amp;"Arial,Regular"&amp;8SOTP</oddHeader>
    <oddFooter>&amp;L&amp;"Arial,Regular"&amp;8Jainam Mehta · github.com/jainammehta1215/ib-portfolio&amp;C&amp;"Arial,Regular"&amp;8Blue = input · Black = formula · Green = link&amp;R&amp;"Arial,Regular"&amp;8Page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2"/>
    <col collapsed="false" customWidth="true" hidden="false" outlineLevel="0" max="5" min="3" style="0" width="15"/>
    <col collapsed="false" customWidth="true" hidden="false" outlineLevel="0" max="6" min="6" style="0" width="56"/>
  </cols>
  <sheetData>
    <row r="1" customFormat="false" ht="30" hidden="false" customHeight="true" outlineLevel="0" collapsed="false">
      <c r="A1" s="1"/>
      <c r="B1" s="23" t="s">
        <v>39</v>
      </c>
      <c r="C1" s="1"/>
      <c r="D1" s="1"/>
      <c r="E1" s="1"/>
      <c r="F1" s="24" t="s">
        <v>40</v>
      </c>
    </row>
    <row r="2" customFormat="false" ht="18" hidden="false" customHeight="true" outlineLevel="0" collapsed="false">
      <c r="A2" s="1"/>
      <c r="B2" s="25" t="s">
        <v>183</v>
      </c>
      <c r="C2" s="1"/>
      <c r="D2" s="1"/>
      <c r="E2" s="1"/>
      <c r="F2" s="1"/>
    </row>
    <row r="4" customFormat="false" ht="15.75" hidden="false" customHeight="true" outlineLevel="0" collapsed="false">
      <c r="B4" s="26" t="s">
        <v>184</v>
      </c>
      <c r="C4" s="1"/>
      <c r="D4" s="1"/>
      <c r="E4" s="1"/>
      <c r="F4" s="1"/>
    </row>
    <row r="5" customFormat="false" ht="15" hidden="false" customHeight="false" outlineLevel="0" collapsed="false">
      <c r="B5" s="22" t="s">
        <v>74</v>
      </c>
      <c r="C5" s="40" t="n">
        <f aca="false">Inputs!$C$27</f>
        <v>1684254.95</v>
      </c>
    </row>
    <row r="6" customFormat="false" ht="15" hidden="false" customHeight="false" outlineLevel="0" collapsed="false">
      <c r="B6" s="22" t="s">
        <v>185</v>
      </c>
      <c r="C6" s="35" t="n">
        <f aca="false">'Market-Implied'!$C$5/(1-Inputs!$C$22)</f>
        <v>1871394.38888889</v>
      </c>
    </row>
    <row r="7" customFormat="false" ht="15" hidden="false" customHeight="false" outlineLevel="0" collapsed="false">
      <c r="B7" s="27" t="s">
        <v>186</v>
      </c>
      <c r="C7" s="35" t="n">
        <f aca="false">'Market-Implied'!$C$6+Inputs!$C$20</f>
        <v>2119242.38888889</v>
      </c>
    </row>
    <row r="8" customFormat="false" ht="15" hidden="false" customHeight="false" outlineLevel="0" collapsed="false">
      <c r="B8" s="22" t="s">
        <v>187</v>
      </c>
      <c r="C8" s="35" t="n">
        <f aca="false">-(SOTP!$G$7+SOTP!$G$8+SOTP!$G$9+SOTP!$G$10)</f>
        <v>-1232793.01</v>
      </c>
    </row>
    <row r="9" customFormat="false" ht="15" hidden="false" customHeight="false" outlineLevel="0" collapsed="false">
      <c r="B9" s="27" t="s">
        <v>188</v>
      </c>
      <c r="C9" s="33" t="n">
        <f aca="false">'Market-Implied'!$C$7+'Market-Implied'!$C$8</f>
        <v>886449.378888889</v>
      </c>
    </row>
    <row r="10" customFormat="false" ht="15" hidden="false" customHeight="false" outlineLevel="0" collapsed="false">
      <c r="B10" s="22" t="s">
        <v>189</v>
      </c>
      <c r="C10" s="35" t="n">
        <f aca="false">'Market-Implied'!$C$9/Inputs!$F$6</f>
        <v>1322466.62522585</v>
      </c>
    </row>
    <row r="11" customFormat="false" ht="15" hidden="false" customHeight="false" outlineLevel="0" collapsed="false">
      <c r="B11" s="27" t="s">
        <v>24</v>
      </c>
      <c r="C11" s="46" t="n">
        <f aca="false">'Market-Implied'!$C$10/Inputs!$D$6</f>
        <v>17.2735975081747</v>
      </c>
    </row>
    <row r="12" customFormat="false" ht="15" hidden="false" customHeight="false" outlineLevel="0" collapsed="false">
      <c r="B12" s="22" t="s">
        <v>190</v>
      </c>
      <c r="C12" s="30" t="n">
        <f aca="false">'Market-Implied'!$C$11/Peers!$D$12-1</f>
        <v>0.790010104474059</v>
      </c>
    </row>
    <row r="13" customFormat="false" ht="22.35" hidden="false" customHeight="false" outlineLevel="0" collapsed="false">
      <c r="B13" s="27" t="s">
        <v>191</v>
      </c>
      <c r="C13" s="30" t="n">
        <f aca="false">'Market-Implied'!$C$11/Peers!$D$6-1</f>
        <v>0.489103233463333</v>
      </c>
      <c r="F13" s="34" t="s">
        <v>192</v>
      </c>
    </row>
    <row r="14" customFormat="false" ht="15" hidden="false" customHeight="false" outlineLevel="0" collapsed="false">
      <c r="B14" s="22" t="s">
        <v>193</v>
      </c>
      <c r="C14" s="47" t="n">
        <f aca="false">'Market-Implied'!$C$10/8350</f>
        <v>158.379236553994</v>
      </c>
    </row>
    <row r="16" customFormat="false" ht="15.75" hidden="false" customHeight="true" outlineLevel="0" collapsed="false">
      <c r="B16" s="26" t="s">
        <v>194</v>
      </c>
      <c r="C16" s="1"/>
      <c r="D16" s="1"/>
      <c r="E16" s="1"/>
      <c r="F16" s="1"/>
    </row>
    <row r="17" customFormat="false" ht="15" hidden="false" customHeight="false" outlineLevel="0" collapsed="false">
      <c r="B17" s="22" t="s">
        <v>195</v>
      </c>
      <c r="C17" s="35" t="n">
        <f aca="false">'Market-Implied'!$C$7-(SOTP!$G$6+SOTP!$G$8+SOTP!$G$9+SOTP!$G$10)</f>
        <v>845509.372888889</v>
      </c>
    </row>
    <row r="18" customFormat="false" ht="15" hidden="false" customHeight="false" outlineLevel="0" collapsed="false">
      <c r="B18" s="22" t="s">
        <v>196</v>
      </c>
      <c r="C18" s="35" t="n">
        <f aca="false">'Market-Implied'!$C$17/Inputs!$F$7</f>
        <v>994015.251456488</v>
      </c>
    </row>
    <row r="19" customFormat="false" ht="15" hidden="false" customHeight="false" outlineLevel="0" collapsed="false">
      <c r="B19" s="27" t="s">
        <v>197</v>
      </c>
      <c r="C19" s="46" t="n">
        <f aca="false">'Market-Implied'!$C$18/Inputs!$D$7</f>
        <v>36.7690778817966</v>
      </c>
    </row>
    <row r="20" customFormat="false" ht="22.35" hidden="false" customHeight="false" outlineLevel="0" collapsed="false">
      <c r="B20" s="22" t="s">
        <v>198</v>
      </c>
      <c r="C20" s="47" t="n">
        <f aca="false">'Market-Implied'!$C$18/8350</f>
        <v>119.0437426894</v>
      </c>
      <c r="F20" s="34" t="s">
        <v>199</v>
      </c>
    </row>
    <row r="22" customFormat="false" ht="39.75" hidden="false" customHeight="true" outlineLevel="0" collapsed="false">
      <c r="B22" s="21" t="s">
        <v>200</v>
      </c>
      <c r="C22" s="21"/>
      <c r="D22" s="21"/>
      <c r="E22" s="21"/>
      <c r="F22" s="21"/>
    </row>
  </sheetData>
  <mergeCells count="1">
    <mergeCell ref="B22:F22"/>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&amp;L&amp;"Arial,Bold"&amp;8Reliance Industries — Sum-of-the-Parts Valuation&amp;R&amp;"Arial,Regular"&amp;8Market-Implied</oddHeader>
    <oddFooter>&amp;L&amp;"Arial,Regular"&amp;8Jainam Mehta · github.com/jainammehta1215/ib-portfolio&amp;C&amp;"Arial,Regular"&amp;8Blue = input · Black = formula · Green = link&amp;R&amp;"Arial,Regular"&amp;8Page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8" min="3" style="0" width="13.5"/>
  </cols>
  <sheetData>
    <row r="1" customFormat="false" ht="30" hidden="false" customHeight="true" outlineLevel="0" collapsed="false">
      <c r="A1" s="1"/>
      <c r="B1" s="23" t="s">
        <v>39</v>
      </c>
      <c r="C1" s="1"/>
      <c r="D1" s="1"/>
      <c r="E1" s="1"/>
      <c r="F1" s="1"/>
      <c r="G1" s="1"/>
      <c r="H1" s="24" t="s">
        <v>40</v>
      </c>
    </row>
    <row r="2" customFormat="false" ht="18" hidden="false" customHeight="true" outlineLevel="0" collapsed="false">
      <c r="A2" s="1"/>
      <c r="B2" s="25" t="s">
        <v>201</v>
      </c>
      <c r="C2" s="1"/>
      <c r="D2" s="1"/>
      <c r="E2" s="1"/>
      <c r="F2" s="1"/>
      <c r="G2" s="1"/>
      <c r="H2" s="1"/>
    </row>
    <row r="4" customFormat="false" ht="15.75" hidden="false" customHeight="true" outlineLevel="0" collapsed="false">
      <c r="B4" s="26" t="s">
        <v>202</v>
      </c>
      <c r="C4" s="1"/>
      <c r="D4" s="1"/>
      <c r="E4" s="1"/>
      <c r="F4" s="1"/>
      <c r="G4" s="1"/>
      <c r="H4" s="1"/>
    </row>
    <row r="5" customFormat="false" ht="15" hidden="false" customHeight="false" outlineLevel="0" collapsed="false">
      <c r="B5" s="27" t="s">
        <v>203</v>
      </c>
      <c r="C5" s="48" t="n">
        <v>20</v>
      </c>
      <c r="D5" s="48" t="n">
        <v>22.5</v>
      </c>
      <c r="E5" s="48" t="n">
        <v>25</v>
      </c>
      <c r="F5" s="48" t="n">
        <v>27.5</v>
      </c>
      <c r="G5" s="48" t="n">
        <v>30</v>
      </c>
    </row>
    <row r="6" customFormat="false" ht="15" hidden="false" customHeight="false" outlineLevel="0" collapsed="false">
      <c r="B6" s="49" t="n">
        <v>10</v>
      </c>
      <c r="C6" s="35" t="n">
        <f aca="false">((Inputs!$D$6*$B6*Inputs!$F$6+Inputs!$D$7*C$5*Inputs!$F$7+Inputs!$D$8*Inputs!$G$8*Inputs!$F$8+Inputs!$D$9*Inputs!$G$9*Inputs!$F$9+Inputs!$D$10*Inputs!$G$10*Inputs!$F$10)-Inputs!$C$20)*(1-Inputs!$C$22)/Inputs!$C$26</f>
        <v>919.886184518751</v>
      </c>
      <c r="D6" s="35" t="n">
        <f aca="false">((Inputs!$D$6*$B6*Inputs!$F$6+Inputs!$D$7*D$5*Inputs!$F$7+Inputs!$D$8*Inputs!$G$8*Inputs!$F$8+Inputs!$D$9*Inputs!$G$9*Inputs!$F$9+Inputs!$D$10*Inputs!$G$10*Inputs!$F$10)-Inputs!$C$20)*(1-Inputs!$C$22)/Inputs!$C$26</f>
        <v>958.119342397931</v>
      </c>
      <c r="E6" s="35" t="n">
        <f aca="false">((Inputs!$D$6*$B6*Inputs!$F$6+Inputs!$D$7*E$5*Inputs!$F$7+Inputs!$D$8*Inputs!$G$8*Inputs!$F$8+Inputs!$D$9*Inputs!$G$9*Inputs!$F$9+Inputs!$D$10*Inputs!$G$10*Inputs!$F$10)-Inputs!$C$20)*(1-Inputs!$C$22)/Inputs!$C$26</f>
        <v>996.352500277111</v>
      </c>
      <c r="F6" s="35" t="n">
        <f aca="false">((Inputs!$D$6*$B6*Inputs!$F$6+Inputs!$D$7*F$5*Inputs!$F$7+Inputs!$D$8*Inputs!$G$8*Inputs!$F$8+Inputs!$D$9*Inputs!$G$9*Inputs!$F$9+Inputs!$D$10*Inputs!$G$10*Inputs!$F$10)-Inputs!$C$20)*(1-Inputs!$C$22)/Inputs!$C$26</f>
        <v>1034.58565815629</v>
      </c>
      <c r="G6" s="35" t="n">
        <f aca="false">((Inputs!$D$6*$B6*Inputs!$F$6+Inputs!$D$7*G$5*Inputs!$F$7+Inputs!$D$8*Inputs!$G$8*Inputs!$F$8+Inputs!$D$9*Inputs!$G$9*Inputs!$F$9+Inputs!$D$10*Inputs!$G$10*Inputs!$F$10)-Inputs!$C$20)*(1-Inputs!$C$22)/Inputs!$C$26</f>
        <v>1072.81881603547</v>
      </c>
    </row>
    <row r="7" customFormat="false" ht="15" hidden="false" customHeight="false" outlineLevel="0" collapsed="false">
      <c r="B7" s="49" t="n">
        <v>11</v>
      </c>
      <c r="C7" s="35" t="n">
        <f aca="false">((Inputs!$D$6*$B7*Inputs!$F$6+Inputs!$D$7*C$5*Inputs!$F$7+Inputs!$D$8*Inputs!$G$8*Inputs!$F$8+Inputs!$D$9*Inputs!$G$9*Inputs!$F$9+Inputs!$D$10*Inputs!$G$10*Inputs!$F$10)-Inputs!$C$20)*(1-Inputs!$C$22)/Inputs!$C$26</f>
        <v>954.016131830778</v>
      </c>
      <c r="D7" s="35" t="n">
        <f aca="false">((Inputs!$D$6*$B7*Inputs!$F$6+Inputs!$D$7*D$5*Inputs!$F$7+Inputs!$D$8*Inputs!$G$8*Inputs!$F$8+Inputs!$D$9*Inputs!$G$9*Inputs!$F$9+Inputs!$D$10*Inputs!$G$10*Inputs!$F$10)-Inputs!$C$20)*(1-Inputs!$C$22)/Inputs!$C$26</f>
        <v>992.249289709958</v>
      </c>
      <c r="E7" s="35" t="n">
        <f aca="false">((Inputs!$D$6*$B7*Inputs!$F$6+Inputs!$D$7*E$5*Inputs!$F$7+Inputs!$D$8*Inputs!$G$8*Inputs!$F$8+Inputs!$D$9*Inputs!$G$9*Inputs!$F$9+Inputs!$D$10*Inputs!$G$10*Inputs!$F$10)-Inputs!$C$20)*(1-Inputs!$C$22)/Inputs!$C$26</f>
        <v>1030.48244758914</v>
      </c>
      <c r="F7" s="35" t="n">
        <f aca="false">((Inputs!$D$6*$B7*Inputs!$F$6+Inputs!$D$7*F$5*Inputs!$F$7+Inputs!$D$8*Inputs!$G$8*Inputs!$F$8+Inputs!$D$9*Inputs!$G$9*Inputs!$F$9+Inputs!$D$10*Inputs!$G$10*Inputs!$F$10)-Inputs!$C$20)*(1-Inputs!$C$22)/Inputs!$C$26</f>
        <v>1068.71560546832</v>
      </c>
      <c r="G7" s="35" t="n">
        <f aca="false">((Inputs!$D$6*$B7*Inputs!$F$6+Inputs!$D$7*G$5*Inputs!$F$7+Inputs!$D$8*Inputs!$G$8*Inputs!$F$8+Inputs!$D$9*Inputs!$G$9*Inputs!$F$9+Inputs!$D$10*Inputs!$G$10*Inputs!$F$10)-Inputs!$C$20)*(1-Inputs!$C$22)/Inputs!$C$26</f>
        <v>1106.9487633475</v>
      </c>
    </row>
    <row r="8" customFormat="false" ht="15" hidden="false" customHeight="false" outlineLevel="0" collapsed="false">
      <c r="B8" s="49" t="n">
        <v>12</v>
      </c>
      <c r="C8" s="35" t="n">
        <f aca="false">((Inputs!$D$6*$B8*Inputs!$F$6+Inputs!$D$7*C$5*Inputs!$F$7+Inputs!$D$8*Inputs!$G$8*Inputs!$F$8+Inputs!$D$9*Inputs!$G$9*Inputs!$F$9+Inputs!$D$10*Inputs!$G$10*Inputs!$F$10)-Inputs!$C$20)*(1-Inputs!$C$22)/Inputs!$C$26</f>
        <v>988.146079142805</v>
      </c>
      <c r="D8" s="35" t="n">
        <f aca="false">((Inputs!$D$6*$B8*Inputs!$F$6+Inputs!$D$7*D$5*Inputs!$F$7+Inputs!$D$8*Inputs!$G$8*Inputs!$F$8+Inputs!$D$9*Inputs!$G$9*Inputs!$F$9+Inputs!$D$10*Inputs!$G$10*Inputs!$F$10)-Inputs!$C$20)*(1-Inputs!$C$22)/Inputs!$C$26</f>
        <v>1026.37923702198</v>
      </c>
      <c r="E8" s="50" t="n">
        <f aca="false">((Inputs!$D$6*$B8*Inputs!$F$6+Inputs!$D$7*E$5*Inputs!$F$7+Inputs!$D$8*Inputs!$G$8*Inputs!$F$8+Inputs!$D$9*Inputs!$G$9*Inputs!$F$9+Inputs!$D$10*Inputs!$G$10*Inputs!$F$10)-Inputs!$C$20)*(1-Inputs!$C$22)/Inputs!$C$26</f>
        <v>1064.61239490116</v>
      </c>
      <c r="F8" s="35" t="n">
        <f aca="false">((Inputs!$D$6*$B8*Inputs!$F$6+Inputs!$D$7*F$5*Inputs!$F$7+Inputs!$D$8*Inputs!$G$8*Inputs!$F$8+Inputs!$D$9*Inputs!$G$9*Inputs!$F$9+Inputs!$D$10*Inputs!$G$10*Inputs!$F$10)-Inputs!$C$20)*(1-Inputs!$C$22)/Inputs!$C$26</f>
        <v>1102.84555278034</v>
      </c>
      <c r="G8" s="35" t="n">
        <f aca="false">((Inputs!$D$6*$B8*Inputs!$F$6+Inputs!$D$7*G$5*Inputs!$F$7+Inputs!$D$8*Inputs!$G$8*Inputs!$F$8+Inputs!$D$9*Inputs!$G$9*Inputs!$F$9+Inputs!$D$10*Inputs!$G$10*Inputs!$F$10)-Inputs!$C$20)*(1-Inputs!$C$22)/Inputs!$C$26</f>
        <v>1141.07871065952</v>
      </c>
    </row>
    <row r="9" customFormat="false" ht="15" hidden="false" customHeight="false" outlineLevel="0" collapsed="false">
      <c r="B9" s="49" t="n">
        <v>13</v>
      </c>
      <c r="C9" s="35" t="n">
        <f aca="false">((Inputs!$D$6*$B9*Inputs!$F$6+Inputs!$D$7*C$5*Inputs!$F$7+Inputs!$D$8*Inputs!$G$8*Inputs!$F$8+Inputs!$D$9*Inputs!$G$9*Inputs!$F$9+Inputs!$D$10*Inputs!$G$10*Inputs!$F$10)-Inputs!$C$20)*(1-Inputs!$C$22)/Inputs!$C$26</f>
        <v>1022.27602645483</v>
      </c>
      <c r="D9" s="35" t="n">
        <f aca="false">((Inputs!$D$6*$B9*Inputs!$F$6+Inputs!$D$7*D$5*Inputs!$F$7+Inputs!$D$8*Inputs!$G$8*Inputs!$F$8+Inputs!$D$9*Inputs!$G$9*Inputs!$F$9+Inputs!$D$10*Inputs!$G$10*Inputs!$F$10)-Inputs!$C$20)*(1-Inputs!$C$22)/Inputs!$C$26</f>
        <v>1060.50918433401</v>
      </c>
      <c r="E9" s="35" t="n">
        <f aca="false">((Inputs!$D$6*$B9*Inputs!$F$6+Inputs!$D$7*E$5*Inputs!$F$7+Inputs!$D$8*Inputs!$G$8*Inputs!$F$8+Inputs!$D$9*Inputs!$G$9*Inputs!$F$9+Inputs!$D$10*Inputs!$G$10*Inputs!$F$10)-Inputs!$C$20)*(1-Inputs!$C$22)/Inputs!$C$26</f>
        <v>1098.74234221319</v>
      </c>
      <c r="F9" s="35" t="n">
        <f aca="false">((Inputs!$D$6*$B9*Inputs!$F$6+Inputs!$D$7*F$5*Inputs!$F$7+Inputs!$D$8*Inputs!$G$8*Inputs!$F$8+Inputs!$D$9*Inputs!$G$9*Inputs!$F$9+Inputs!$D$10*Inputs!$G$10*Inputs!$F$10)-Inputs!$C$20)*(1-Inputs!$C$22)/Inputs!$C$26</f>
        <v>1136.97550009237</v>
      </c>
      <c r="G9" s="35" t="n">
        <f aca="false">((Inputs!$D$6*$B9*Inputs!$F$6+Inputs!$D$7*G$5*Inputs!$F$7+Inputs!$D$8*Inputs!$G$8*Inputs!$F$8+Inputs!$D$9*Inputs!$G$9*Inputs!$F$9+Inputs!$D$10*Inputs!$G$10*Inputs!$F$10)-Inputs!$C$20)*(1-Inputs!$C$22)/Inputs!$C$26</f>
        <v>1175.20865797155</v>
      </c>
    </row>
    <row r="10" customFormat="false" ht="15" hidden="false" customHeight="false" outlineLevel="0" collapsed="false">
      <c r="B10" s="49" t="n">
        <v>14</v>
      </c>
      <c r="C10" s="35" t="n">
        <f aca="false">((Inputs!$D$6*$B10*Inputs!$F$6+Inputs!$D$7*C$5*Inputs!$F$7+Inputs!$D$8*Inputs!$G$8*Inputs!$F$8+Inputs!$D$9*Inputs!$G$9*Inputs!$F$9+Inputs!$D$10*Inputs!$G$10*Inputs!$F$10)-Inputs!$C$20)*(1-Inputs!$C$22)/Inputs!$C$26</f>
        <v>1056.40597376686</v>
      </c>
      <c r="D10" s="35" t="n">
        <f aca="false">((Inputs!$D$6*$B10*Inputs!$F$6+Inputs!$D$7*D$5*Inputs!$F$7+Inputs!$D$8*Inputs!$G$8*Inputs!$F$8+Inputs!$D$9*Inputs!$G$9*Inputs!$F$9+Inputs!$D$10*Inputs!$G$10*Inputs!$F$10)-Inputs!$C$20)*(1-Inputs!$C$22)/Inputs!$C$26</f>
        <v>1094.63913164604</v>
      </c>
      <c r="E10" s="35" t="n">
        <f aca="false">((Inputs!$D$6*$B10*Inputs!$F$6+Inputs!$D$7*E$5*Inputs!$F$7+Inputs!$D$8*Inputs!$G$8*Inputs!$F$8+Inputs!$D$9*Inputs!$G$9*Inputs!$F$9+Inputs!$D$10*Inputs!$G$10*Inputs!$F$10)-Inputs!$C$20)*(1-Inputs!$C$22)/Inputs!$C$26</f>
        <v>1132.87228952522</v>
      </c>
      <c r="F10" s="35" t="n">
        <f aca="false">((Inputs!$D$6*$B10*Inputs!$F$6+Inputs!$D$7*F$5*Inputs!$F$7+Inputs!$D$8*Inputs!$G$8*Inputs!$F$8+Inputs!$D$9*Inputs!$G$9*Inputs!$F$9+Inputs!$D$10*Inputs!$G$10*Inputs!$F$10)-Inputs!$C$20)*(1-Inputs!$C$22)/Inputs!$C$26</f>
        <v>1171.1054474044</v>
      </c>
      <c r="G10" s="35" t="n">
        <f aca="false">((Inputs!$D$6*$B10*Inputs!$F$6+Inputs!$D$7*G$5*Inputs!$F$7+Inputs!$D$8*Inputs!$G$8*Inputs!$F$8+Inputs!$D$9*Inputs!$G$9*Inputs!$F$9+Inputs!$D$10*Inputs!$G$10*Inputs!$F$10)-Inputs!$C$20)*(1-Inputs!$C$22)/Inputs!$C$26</f>
        <v>1209.33860528358</v>
      </c>
    </row>
    <row r="12" customFormat="false" ht="15.75" hidden="false" customHeight="true" outlineLevel="0" collapsed="false">
      <c r="B12" s="26" t="s">
        <v>204</v>
      </c>
      <c r="C12" s="1"/>
      <c r="D12" s="1"/>
      <c r="E12" s="1"/>
      <c r="F12" s="1"/>
      <c r="G12" s="1"/>
      <c r="H12" s="1"/>
    </row>
    <row r="13" customFormat="false" ht="15" hidden="false" customHeight="false" outlineLevel="0" collapsed="false">
      <c r="B13" s="27" t="s">
        <v>203</v>
      </c>
      <c r="C13" s="51" t="n">
        <v>0</v>
      </c>
      <c r="D13" s="51" t="n">
        <v>0.05</v>
      </c>
      <c r="E13" s="51" t="n">
        <v>0.1</v>
      </c>
      <c r="F13" s="51" t="n">
        <v>0.15</v>
      </c>
      <c r="G13" s="51" t="n">
        <v>0.2</v>
      </c>
    </row>
    <row r="14" customFormat="false" ht="15" hidden="false" customHeight="false" outlineLevel="0" collapsed="false">
      <c r="B14" s="49" t="n">
        <v>10</v>
      </c>
      <c r="C14" s="35" t="n">
        <f aca="false">((Inputs!$D$6*$B14*Inputs!$F$6+Inputs!$D$7*Inputs!$G$7*Inputs!$F$7+Inputs!$D$8*Inputs!$G$8*Inputs!$F$8+Inputs!$D$9*Inputs!$G$9*Inputs!$F$9+Inputs!$D$10*Inputs!$G$10*Inputs!$F$10)-Inputs!$C$20)*(1-C$13)/Inputs!$C$26</f>
        <v>1107.05833364123</v>
      </c>
      <c r="D14" s="35" t="n">
        <f aca="false">((Inputs!$D$6*$B14*Inputs!$F$6+Inputs!$D$7*Inputs!$G$7*Inputs!$F$7+Inputs!$D$8*Inputs!$G$8*Inputs!$F$8+Inputs!$D$9*Inputs!$G$9*Inputs!$F$9+Inputs!$D$10*Inputs!$G$10*Inputs!$F$10)-Inputs!$C$20)*(1-D$13)/Inputs!$C$26</f>
        <v>1051.70541695917</v>
      </c>
      <c r="E14" s="35" t="n">
        <f aca="false">((Inputs!$D$6*$B14*Inputs!$F$6+Inputs!$D$7*Inputs!$G$7*Inputs!$F$7+Inputs!$D$8*Inputs!$G$8*Inputs!$F$8+Inputs!$D$9*Inputs!$G$9*Inputs!$F$9+Inputs!$D$10*Inputs!$G$10*Inputs!$F$10)-Inputs!$C$20)*(1-E$13)/Inputs!$C$26</f>
        <v>996.352500277111</v>
      </c>
      <c r="F14" s="35" t="n">
        <f aca="false">((Inputs!$D$6*$B14*Inputs!$F$6+Inputs!$D$7*Inputs!$G$7*Inputs!$F$7+Inputs!$D$8*Inputs!$G$8*Inputs!$F$8+Inputs!$D$9*Inputs!$G$9*Inputs!$F$9+Inputs!$D$10*Inputs!$G$10*Inputs!$F$10)-Inputs!$C$20)*(1-F$13)/Inputs!$C$26</f>
        <v>940.999583595049</v>
      </c>
      <c r="G14" s="35" t="n">
        <f aca="false">((Inputs!$D$6*$B14*Inputs!$F$6+Inputs!$D$7*Inputs!$G$7*Inputs!$F$7+Inputs!$D$8*Inputs!$G$8*Inputs!$F$8+Inputs!$D$9*Inputs!$G$9*Inputs!$F$9+Inputs!$D$10*Inputs!$G$10*Inputs!$F$10)-Inputs!$C$20)*(1-G$13)/Inputs!$C$26</f>
        <v>885.646666912987</v>
      </c>
    </row>
    <row r="15" customFormat="false" ht="15" hidden="false" customHeight="false" outlineLevel="0" collapsed="false">
      <c r="B15" s="49" t="n">
        <v>11</v>
      </c>
      <c r="C15" s="35" t="n">
        <f aca="false">((Inputs!$D$6*$B15*Inputs!$F$6+Inputs!$D$7*Inputs!$G$7*Inputs!$F$7+Inputs!$D$8*Inputs!$G$8*Inputs!$F$8+Inputs!$D$9*Inputs!$G$9*Inputs!$F$9+Inputs!$D$10*Inputs!$G$10*Inputs!$F$10)-Inputs!$C$20)*(1-C$13)/Inputs!$C$26</f>
        <v>1144.98049732126</v>
      </c>
      <c r="D15" s="35" t="n">
        <f aca="false">((Inputs!$D$6*$B15*Inputs!$F$6+Inputs!$D$7*Inputs!$G$7*Inputs!$F$7+Inputs!$D$8*Inputs!$G$8*Inputs!$F$8+Inputs!$D$9*Inputs!$G$9*Inputs!$F$9+Inputs!$D$10*Inputs!$G$10*Inputs!$F$10)-Inputs!$C$20)*(1-D$13)/Inputs!$C$26</f>
        <v>1087.7314724552</v>
      </c>
      <c r="E15" s="35" t="n">
        <f aca="false">((Inputs!$D$6*$B15*Inputs!$F$6+Inputs!$D$7*Inputs!$G$7*Inputs!$F$7+Inputs!$D$8*Inputs!$G$8*Inputs!$F$8+Inputs!$D$9*Inputs!$G$9*Inputs!$F$9+Inputs!$D$10*Inputs!$G$10*Inputs!$F$10)-Inputs!$C$20)*(1-E$13)/Inputs!$C$26</f>
        <v>1030.48244758914</v>
      </c>
      <c r="F15" s="35" t="n">
        <f aca="false">((Inputs!$D$6*$B15*Inputs!$F$6+Inputs!$D$7*Inputs!$G$7*Inputs!$F$7+Inputs!$D$8*Inputs!$G$8*Inputs!$F$8+Inputs!$D$9*Inputs!$G$9*Inputs!$F$9+Inputs!$D$10*Inputs!$G$10*Inputs!$F$10)-Inputs!$C$20)*(1-F$13)/Inputs!$C$26</f>
        <v>973.233422723074</v>
      </c>
      <c r="G15" s="35" t="n">
        <f aca="false">((Inputs!$D$6*$B15*Inputs!$F$6+Inputs!$D$7*Inputs!$G$7*Inputs!$F$7+Inputs!$D$8*Inputs!$G$8*Inputs!$F$8+Inputs!$D$9*Inputs!$G$9*Inputs!$F$9+Inputs!$D$10*Inputs!$G$10*Inputs!$F$10)-Inputs!$C$20)*(1-G$13)/Inputs!$C$26</f>
        <v>915.984397857011</v>
      </c>
    </row>
    <row r="16" customFormat="false" ht="15" hidden="false" customHeight="false" outlineLevel="0" collapsed="false">
      <c r="B16" s="49" t="n">
        <v>12</v>
      </c>
      <c r="C16" s="35" t="n">
        <f aca="false">((Inputs!$D$6*$B16*Inputs!$F$6+Inputs!$D$7*Inputs!$G$7*Inputs!$F$7+Inputs!$D$8*Inputs!$G$8*Inputs!$F$8+Inputs!$D$9*Inputs!$G$9*Inputs!$F$9+Inputs!$D$10*Inputs!$G$10*Inputs!$F$10)-Inputs!$C$20)*(1-C$13)/Inputs!$C$26</f>
        <v>1182.90266100129</v>
      </c>
      <c r="D16" s="35" t="n">
        <f aca="false">((Inputs!$D$6*$B16*Inputs!$F$6+Inputs!$D$7*Inputs!$G$7*Inputs!$F$7+Inputs!$D$8*Inputs!$G$8*Inputs!$F$8+Inputs!$D$9*Inputs!$G$9*Inputs!$F$9+Inputs!$D$10*Inputs!$G$10*Inputs!$F$10)-Inputs!$C$20)*(1-D$13)/Inputs!$C$26</f>
        <v>1123.75752795123</v>
      </c>
      <c r="E16" s="50" t="n">
        <f aca="false">((Inputs!$D$6*$B16*Inputs!$F$6+Inputs!$D$7*Inputs!$G$7*Inputs!$F$7+Inputs!$D$8*Inputs!$G$8*Inputs!$F$8+Inputs!$D$9*Inputs!$G$9*Inputs!$F$9+Inputs!$D$10*Inputs!$G$10*Inputs!$F$10)-Inputs!$C$20)*(1-E$13)/Inputs!$C$26</f>
        <v>1064.61239490116</v>
      </c>
      <c r="F16" s="35" t="n">
        <f aca="false">((Inputs!$D$6*$B16*Inputs!$F$6+Inputs!$D$7*Inputs!$G$7*Inputs!$F$7+Inputs!$D$8*Inputs!$G$8*Inputs!$F$8+Inputs!$D$9*Inputs!$G$9*Inputs!$F$9+Inputs!$D$10*Inputs!$G$10*Inputs!$F$10)-Inputs!$C$20)*(1-F$13)/Inputs!$C$26</f>
        <v>1005.4672618511</v>
      </c>
      <c r="G16" s="35" t="n">
        <f aca="false">((Inputs!$D$6*$B16*Inputs!$F$6+Inputs!$D$7*Inputs!$G$7*Inputs!$F$7+Inputs!$D$8*Inputs!$G$8*Inputs!$F$8+Inputs!$D$9*Inputs!$G$9*Inputs!$F$9+Inputs!$D$10*Inputs!$G$10*Inputs!$F$10)-Inputs!$C$20)*(1-G$13)/Inputs!$C$26</f>
        <v>946.322128801035</v>
      </c>
    </row>
    <row r="17" customFormat="false" ht="15" hidden="false" customHeight="false" outlineLevel="0" collapsed="false">
      <c r="B17" s="49" t="n">
        <v>13</v>
      </c>
      <c r="C17" s="35" t="n">
        <f aca="false">((Inputs!$D$6*$B17*Inputs!$F$6+Inputs!$D$7*Inputs!$G$7*Inputs!$F$7+Inputs!$D$8*Inputs!$G$8*Inputs!$F$8+Inputs!$D$9*Inputs!$G$9*Inputs!$F$9+Inputs!$D$10*Inputs!$G$10*Inputs!$F$10)-Inputs!$C$20)*(1-C$13)/Inputs!$C$26</f>
        <v>1220.82482468132</v>
      </c>
      <c r="D17" s="35" t="n">
        <f aca="false">((Inputs!$D$6*$B17*Inputs!$F$6+Inputs!$D$7*Inputs!$G$7*Inputs!$F$7+Inputs!$D$8*Inputs!$G$8*Inputs!$F$8+Inputs!$D$9*Inputs!$G$9*Inputs!$F$9+Inputs!$D$10*Inputs!$G$10*Inputs!$F$10)-Inputs!$C$20)*(1-D$13)/Inputs!$C$26</f>
        <v>1159.78358344726</v>
      </c>
      <c r="E17" s="35" t="n">
        <f aca="false">((Inputs!$D$6*$B17*Inputs!$F$6+Inputs!$D$7*Inputs!$G$7*Inputs!$F$7+Inputs!$D$8*Inputs!$G$8*Inputs!$F$8+Inputs!$D$9*Inputs!$G$9*Inputs!$F$9+Inputs!$D$10*Inputs!$G$10*Inputs!$F$10)-Inputs!$C$20)*(1-E$13)/Inputs!$C$26</f>
        <v>1098.74234221319</v>
      </c>
      <c r="F17" s="35" t="n">
        <f aca="false">((Inputs!$D$6*$B17*Inputs!$F$6+Inputs!$D$7*Inputs!$G$7*Inputs!$F$7+Inputs!$D$8*Inputs!$G$8*Inputs!$F$8+Inputs!$D$9*Inputs!$G$9*Inputs!$F$9+Inputs!$D$10*Inputs!$G$10*Inputs!$F$10)-Inputs!$C$20)*(1-F$13)/Inputs!$C$26</f>
        <v>1037.70110097912</v>
      </c>
      <c r="G17" s="35" t="n">
        <f aca="false">((Inputs!$D$6*$B17*Inputs!$F$6+Inputs!$D$7*Inputs!$G$7*Inputs!$F$7+Inputs!$D$8*Inputs!$G$8*Inputs!$F$8+Inputs!$D$9*Inputs!$G$9*Inputs!$F$9+Inputs!$D$10*Inputs!$G$10*Inputs!$F$10)-Inputs!$C$20)*(1-G$13)/Inputs!$C$26</f>
        <v>976.659859745058</v>
      </c>
    </row>
    <row r="18" customFormat="false" ht="15" hidden="false" customHeight="false" outlineLevel="0" collapsed="false">
      <c r="B18" s="49" t="n">
        <v>14</v>
      </c>
      <c r="C18" s="35" t="n">
        <f aca="false">((Inputs!$D$6*$B18*Inputs!$F$6+Inputs!$D$7*Inputs!$G$7*Inputs!$F$7+Inputs!$D$8*Inputs!$G$8*Inputs!$F$8+Inputs!$D$9*Inputs!$G$9*Inputs!$F$9+Inputs!$D$10*Inputs!$G$10*Inputs!$F$10)-Inputs!$C$20)*(1-C$13)/Inputs!$C$26</f>
        <v>1258.74698836135</v>
      </c>
      <c r="D18" s="35" t="n">
        <f aca="false">((Inputs!$D$6*$B18*Inputs!$F$6+Inputs!$D$7*Inputs!$G$7*Inputs!$F$7+Inputs!$D$8*Inputs!$G$8*Inputs!$F$8+Inputs!$D$9*Inputs!$G$9*Inputs!$F$9+Inputs!$D$10*Inputs!$G$10*Inputs!$F$10)-Inputs!$C$20)*(1-D$13)/Inputs!$C$26</f>
        <v>1195.80963894328</v>
      </c>
      <c r="E18" s="35" t="n">
        <f aca="false">((Inputs!$D$6*$B18*Inputs!$F$6+Inputs!$D$7*Inputs!$G$7*Inputs!$F$7+Inputs!$D$8*Inputs!$G$8*Inputs!$F$8+Inputs!$D$9*Inputs!$G$9*Inputs!$F$9+Inputs!$D$10*Inputs!$G$10*Inputs!$F$10)-Inputs!$C$20)*(1-E$13)/Inputs!$C$26</f>
        <v>1132.87228952522</v>
      </c>
      <c r="F18" s="35" t="n">
        <f aca="false">((Inputs!$D$6*$B18*Inputs!$F$6+Inputs!$D$7*Inputs!$G$7*Inputs!$F$7+Inputs!$D$8*Inputs!$G$8*Inputs!$F$8+Inputs!$D$9*Inputs!$G$9*Inputs!$F$9+Inputs!$D$10*Inputs!$G$10*Inputs!$F$10)-Inputs!$C$20)*(1-F$13)/Inputs!$C$26</f>
        <v>1069.93494010715</v>
      </c>
      <c r="G18" s="35" t="n">
        <f aca="false">((Inputs!$D$6*$B18*Inputs!$F$6+Inputs!$D$7*Inputs!$G$7*Inputs!$F$7+Inputs!$D$8*Inputs!$G$8*Inputs!$F$8+Inputs!$D$9*Inputs!$G$9*Inputs!$F$9+Inputs!$D$10*Inputs!$G$10*Inputs!$F$10)-Inputs!$C$20)*(1-G$13)/Inputs!$C$26</f>
        <v>1006.99759068908</v>
      </c>
    </row>
    <row r="20" customFormat="false" ht="15.75" hidden="false" customHeight="true" outlineLevel="0" collapsed="false">
      <c r="B20" s="26" t="s">
        <v>205</v>
      </c>
      <c r="C20" s="1"/>
      <c r="D20" s="1"/>
      <c r="E20" s="1"/>
      <c r="F20" s="1"/>
      <c r="G20" s="1"/>
      <c r="H20" s="1"/>
    </row>
    <row r="21" customFormat="false" ht="15" hidden="false" customHeight="false" outlineLevel="0" collapsed="false">
      <c r="B21" s="22" t="s">
        <v>206</v>
      </c>
      <c r="C21" s="35" t="n">
        <f aca="false">((Inputs!$D$6*Inputs!$H$6*Inputs!$F$6+Inputs!$D$7*Inputs!$H$7*Inputs!$F$7+Inputs!$D$8*Inputs!$H$8*Inputs!$F$8+Inputs!$D$9*Inputs!$H$9*Inputs!$F$9+Inputs!$D$10*Inputs!$H$10*Inputs!$F$10)-Inputs!$C$20)*(1-Inputs!$C$22)/Inputs!$C$26</f>
        <v>852.508390319601</v>
      </c>
    </row>
    <row r="22" customFormat="false" ht="15" hidden="false" customHeight="false" outlineLevel="0" collapsed="false">
      <c r="B22" s="22" t="s">
        <v>207</v>
      </c>
      <c r="C22" s="35" t="n">
        <f aca="false">((Inputs!$D$6*Inputs!$I$6*Inputs!$F$6+Inputs!$D$7*Inputs!$I$7*Inputs!$F$7+Inputs!$D$8*Inputs!$I$8*Inputs!$F$8+Inputs!$D$9*Inputs!$I$9*Inputs!$F$9+Inputs!$D$10*Inputs!$I$10*Inputs!$F$10)-Inputs!$C$20)*(1-Inputs!$C$22)/Inputs!$C$26</f>
        <v>1276.71639948273</v>
      </c>
    </row>
    <row r="23" customFormat="false" ht="15" hidden="false" customHeight="false" outlineLevel="0" collapsed="false">
      <c r="B23" s="27" t="s">
        <v>208</v>
      </c>
      <c r="C23" s="40" t="n">
        <f aca="false">SOTP!$G$22</f>
        <v>1064.61239490116</v>
      </c>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&amp;L&amp;"Arial,Bold"&amp;8Reliance Industries — Sum-of-the-Parts Valuation&amp;R&amp;"Arial,Regular"&amp;8Sensitivity</oddHeader>
    <oddFooter>&amp;L&amp;"Arial,Regular"&amp;8Jainam Mehta · github.com/jainammehta1215/ib-portfolio&amp;C&amp;"Arial,Regular"&amp;8Blue = input · Black = formula · Green = link&amp;R&amp;"Arial,Regular"&amp;8Page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0"/>
    <col collapsed="false" customWidth="true" hidden="false" outlineLevel="0" max="5" min="3" style="0" width="15"/>
    <col collapsed="false" customWidth="true" hidden="false" outlineLevel="0" max="6" min="6" style="0" width="56"/>
  </cols>
  <sheetData>
    <row r="1" customFormat="false" ht="30" hidden="false" customHeight="true" outlineLevel="0" collapsed="false">
      <c r="A1" s="1"/>
      <c r="B1" s="23" t="s">
        <v>39</v>
      </c>
      <c r="C1" s="1"/>
      <c r="D1" s="1"/>
      <c r="E1" s="1"/>
      <c r="F1" s="24" t="s">
        <v>40</v>
      </c>
    </row>
    <row r="2" customFormat="false" ht="18" hidden="false" customHeight="true" outlineLevel="0" collapsed="false">
      <c r="A2" s="1"/>
      <c r="B2" s="25" t="s">
        <v>209</v>
      </c>
      <c r="C2" s="1"/>
      <c r="D2" s="1"/>
      <c r="E2" s="1"/>
      <c r="F2" s="1"/>
    </row>
    <row r="4" customFormat="false" ht="15.75" hidden="false" customHeight="true" outlineLevel="0" collapsed="false">
      <c r="B4" s="26" t="s">
        <v>210</v>
      </c>
      <c r="C4" s="1"/>
      <c r="D4" s="1"/>
      <c r="E4" s="1"/>
      <c r="F4" s="1"/>
    </row>
    <row r="5" customFormat="false" ht="15" hidden="false" customHeight="false" outlineLevel="0" collapsed="false">
      <c r="B5" s="22" t="s">
        <v>211</v>
      </c>
      <c r="C5" s="40" t="n">
        <f aca="false">SOTP!$G$6</f>
        <v>615818.016</v>
      </c>
    </row>
    <row r="6" customFormat="false" ht="15" hidden="false" customHeight="false" outlineLevel="0" collapsed="false">
      <c r="B6" s="22" t="s">
        <v>212</v>
      </c>
      <c r="C6" s="40" t="n">
        <f aca="false">SOTP!$G$7</f>
        <v>574878.01</v>
      </c>
    </row>
    <row r="7" customFormat="false" ht="15" hidden="false" customHeight="false" outlineLevel="0" collapsed="false">
      <c r="B7" s="22" t="s">
        <v>213</v>
      </c>
      <c r="C7" s="40" t="n">
        <f aca="false">SOTP!$G$8</f>
        <v>454095</v>
      </c>
    </row>
    <row r="8" customFormat="false" ht="15" hidden="false" customHeight="false" outlineLevel="0" collapsed="false">
      <c r="B8" s="22" t="s">
        <v>214</v>
      </c>
      <c r="C8" s="40" t="n">
        <f aca="false">SOTP!$G$9</f>
        <v>95250</v>
      </c>
    </row>
    <row r="9" customFormat="false" ht="15" hidden="false" customHeight="false" outlineLevel="0" collapsed="false">
      <c r="B9" s="22" t="s">
        <v>215</v>
      </c>
      <c r="C9" s="40" t="n">
        <f aca="false">SOTP!$G$10</f>
        <v>108570</v>
      </c>
    </row>
    <row r="10" customFormat="false" ht="15" hidden="false" customHeight="false" outlineLevel="0" collapsed="false">
      <c r="B10" s="27" t="s">
        <v>20</v>
      </c>
      <c r="C10" s="52" t="n">
        <f aca="false">SOTP!$G$11</f>
        <v>1848611.026</v>
      </c>
    </row>
    <row r="11" customFormat="false" ht="15" hidden="false" customHeight="false" outlineLevel="0" collapsed="false">
      <c r="B11" s="22" t="s">
        <v>171</v>
      </c>
      <c r="C11" s="40" t="n">
        <f aca="false">SOTP!$G$14</f>
        <v>-247848</v>
      </c>
    </row>
    <row r="12" customFormat="false" ht="15" hidden="false" customHeight="false" outlineLevel="0" collapsed="false">
      <c r="B12" s="22" t="s">
        <v>173</v>
      </c>
      <c r="C12" s="40" t="n">
        <f aca="false">SOTP!$G$16</f>
        <v>-160076.3026</v>
      </c>
    </row>
    <row r="13" customFormat="false" ht="15" hidden="false" customHeight="false" outlineLevel="0" collapsed="false">
      <c r="B13" s="27" t="s">
        <v>216</v>
      </c>
      <c r="C13" s="53" t="n">
        <f aca="false">SOTP!$G$17</f>
        <v>1440686.7234</v>
      </c>
    </row>
    <row r="15" customFormat="false" ht="15.75" hidden="false" customHeight="true" outlineLevel="0" collapsed="false">
      <c r="B15" s="26" t="s">
        <v>175</v>
      </c>
      <c r="C15" s="1"/>
      <c r="D15" s="1"/>
      <c r="E15" s="1"/>
      <c r="F15" s="1"/>
    </row>
    <row r="16" customFormat="false" ht="15" hidden="false" customHeight="false" outlineLevel="0" collapsed="false">
      <c r="B16" s="27" t="s">
        <v>21</v>
      </c>
      <c r="C16" s="45" t="n">
        <f aca="false">SOTP!$G$22</f>
        <v>1064.61239490116</v>
      </c>
    </row>
    <row r="17" customFormat="false" ht="15" hidden="false" customHeight="false" outlineLevel="0" collapsed="false">
      <c r="B17" s="22" t="s">
        <v>217</v>
      </c>
      <c r="C17" s="54" t="str">
        <f aca="false">TEXT(Sensitivity!$C$21,"#,##0")&amp;" – "&amp;TEXT(Sensitivity!$C$22,"#,##0")</f>
        <v>853 – 1,277</v>
      </c>
    </row>
    <row r="18" customFormat="false" ht="15" hidden="false" customHeight="false" outlineLevel="0" collapsed="false">
      <c r="B18" s="22" t="s">
        <v>22</v>
      </c>
      <c r="C18" s="45" t="n">
        <f aca="false">SOTP!$G$23</f>
        <v>1244.6</v>
      </c>
    </row>
    <row r="19" customFormat="false" ht="15" hidden="false" customHeight="false" outlineLevel="0" collapsed="false">
      <c r="B19" s="27" t="s">
        <v>23</v>
      </c>
      <c r="C19" s="41" t="n">
        <f aca="false">SOTP!$G$24</f>
        <v>-0.144614820101909</v>
      </c>
    </row>
    <row r="21" customFormat="false" ht="15.75" hidden="false" customHeight="true" outlineLevel="0" collapsed="false">
      <c r="B21" s="26" t="s">
        <v>218</v>
      </c>
      <c r="C21" s="1"/>
      <c r="D21" s="1"/>
      <c r="E21" s="1"/>
      <c r="F21" s="1"/>
    </row>
    <row r="22" customFormat="false" ht="15" hidden="false" customHeight="false" outlineLevel="0" collapsed="false">
      <c r="B22" s="27" t="s">
        <v>24</v>
      </c>
      <c r="C22" s="39" t="n">
        <f aca="false">'Market-Implied'!$C$11</f>
        <v>17.2735975081747</v>
      </c>
    </row>
    <row r="23" customFormat="false" ht="15" hidden="false" customHeight="false" outlineLevel="0" collapsed="false">
      <c r="B23" s="22" t="s">
        <v>219</v>
      </c>
      <c r="C23" s="55" t="n">
        <f aca="false">'Market-Implied'!$C$14</f>
        <v>158.379236553994</v>
      </c>
    </row>
    <row r="24" customFormat="false" ht="15" hidden="false" customHeight="false" outlineLevel="0" collapsed="false">
      <c r="B24" s="22" t="s">
        <v>220</v>
      </c>
      <c r="C24" s="39" t="n">
        <f aca="false">Inputs!$G$6</f>
        <v>12</v>
      </c>
    </row>
    <row r="25" customFormat="false" ht="15" hidden="false" customHeight="false" outlineLevel="0" collapsed="false">
      <c r="B25" s="22" t="s">
        <v>221</v>
      </c>
      <c r="C25" s="56" t="n">
        <f aca="false">'Market-Implied'!$C$13</f>
        <v>0.489103233463333</v>
      </c>
    </row>
    <row r="27" customFormat="false" ht="45" hidden="false" customHeight="true" outlineLevel="0" collapsed="false">
      <c r="B27" s="21" t="s">
        <v>222</v>
      </c>
      <c r="C27" s="21"/>
      <c r="D27" s="21"/>
      <c r="E27" s="21"/>
      <c r="F27" s="21"/>
    </row>
    <row r="28" customFormat="false" ht="60" hidden="false" customHeight="true" outlineLevel="0" collapsed="false">
      <c r="B28" s="21" t="s">
        <v>223</v>
      </c>
      <c r="C28" s="21"/>
      <c r="D28" s="21"/>
      <c r="E28" s="21"/>
      <c r="F28" s="21"/>
    </row>
    <row r="29" customFormat="false" ht="30" hidden="false" customHeight="true" outlineLevel="0" collapsed="false">
      <c r="B29" s="21" t="s">
        <v>224</v>
      </c>
      <c r="C29" s="21"/>
      <c r="D29" s="21"/>
      <c r="E29" s="21"/>
      <c r="F29" s="21"/>
    </row>
    <row r="30" customFormat="false" ht="45" hidden="false" customHeight="true" outlineLevel="0" collapsed="false">
      <c r="B30" s="21" t="s">
        <v>225</v>
      </c>
      <c r="C30" s="21"/>
      <c r="D30" s="21"/>
      <c r="E30" s="21"/>
      <c r="F30" s="21"/>
    </row>
  </sheetData>
  <mergeCells count="4">
    <mergeCell ref="B27:F27"/>
    <mergeCell ref="B28:F28"/>
    <mergeCell ref="B29:F29"/>
    <mergeCell ref="B30:F30"/>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&amp;L&amp;"Arial,Bold"&amp;8Reliance Industries — Sum-of-the-Parts Valuation&amp;R&amp;"Arial,Regular"&amp;8Summary</oddHeader>
    <oddFooter>&amp;L&amp;"Arial,Regular"&amp;8Jainam Mehta · github.com/jainammehta1215/ib-portfolio&amp;C&amp;"Arial,Regular"&amp;8Blue = input · Black = formula · Green = link&amp;R&amp;"Arial,Regular"&amp;8Page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74"/>
    <col collapsed="false" customWidth="true" hidden="false" outlineLevel="0" max="5" min="3" style="0" width="16"/>
  </cols>
  <sheetData>
    <row r="1" customFormat="false" ht="30" hidden="false" customHeight="true" outlineLevel="0" collapsed="false">
      <c r="A1" s="1"/>
      <c r="B1" s="23" t="s">
        <v>39</v>
      </c>
      <c r="C1" s="1"/>
      <c r="D1" s="1"/>
      <c r="E1" s="24" t="s">
        <v>40</v>
      </c>
    </row>
    <row r="2" customFormat="false" ht="18" hidden="false" customHeight="true" outlineLevel="0" collapsed="false">
      <c r="A2" s="1"/>
      <c r="B2" s="25" t="s">
        <v>226</v>
      </c>
      <c r="C2" s="1"/>
      <c r="D2" s="1"/>
      <c r="E2" s="1"/>
    </row>
    <row r="4" customFormat="false" ht="15.75" hidden="false" customHeight="true" outlineLevel="0" collapsed="false">
      <c r="B4" s="26" t="s">
        <v>227</v>
      </c>
      <c r="C4" s="1"/>
      <c r="D4" s="1"/>
      <c r="E4" s="1"/>
    </row>
    <row r="5" customFormat="false" ht="15" hidden="false" customHeight="false" outlineLevel="0" collapsed="false">
      <c r="B5" s="22" t="s">
        <v>228</v>
      </c>
      <c r="C5" s="57" t="b">
        <f aca="false">ABS(Inputs!$D$11-194047)&lt;1</f>
        <v>1</v>
      </c>
    </row>
    <row r="6" customFormat="false" ht="15" hidden="false" customHeight="false" outlineLevel="0" collapsed="false">
      <c r="B6" s="22" t="s">
        <v>229</v>
      </c>
      <c r="C6" s="57" t="b">
        <f aca="false">ABS(Inputs!$C$11-174797)&lt;1</f>
        <v>1</v>
      </c>
    </row>
    <row r="7" customFormat="false" ht="15" hidden="false" customHeight="false" outlineLevel="0" collapsed="false">
      <c r="B7" s="22" t="s">
        <v>230</v>
      </c>
      <c r="C7" s="57" t="b">
        <f aca="false">Inputs!$D$11&lt;Inputs!$C$15</f>
        <v>1</v>
      </c>
    </row>
    <row r="8" customFormat="false" ht="15" hidden="false" customHeight="false" outlineLevel="0" collapsed="false">
      <c r="B8" s="22" t="s">
        <v>231</v>
      </c>
      <c r="C8" s="57" t="b">
        <f aca="false">ABS(Inputs!$C$20-247848)&lt;1</f>
        <v>1</v>
      </c>
    </row>
    <row r="9" customFormat="false" ht="15" hidden="false" customHeight="false" outlineLevel="0" collapsed="false">
      <c r="B9" s="22" t="s">
        <v>232</v>
      </c>
      <c r="C9" s="57" t="b">
        <f aca="false">AND(Inputs!$F$6&gt;0.5,Inputs!$F$6&lt;=1,Inputs!$F$7&gt;0.5,Inputs!$F$7&lt;=1,Inputs!$F$8&gt;0.5,Inputs!$F$8&lt;=1,Inputs!$F$9&gt;0.5,Inputs!$F$9&lt;=1,Inputs!$F$10&gt;0.5,Inputs!$F$10&lt;=1)</f>
        <v>1</v>
      </c>
    </row>
    <row r="10" customFormat="false" ht="15" hidden="false" customHeight="false" outlineLevel="0" collapsed="false">
      <c r="B10" s="22" t="s">
        <v>233</v>
      </c>
      <c r="C10" s="57" t="b">
        <f aca="false">AND(Inputs!$G$6&gt;=Inputs!$H$6,Inputs!$G$6&lt;=Inputs!$I$6,Inputs!$G$7&gt;=Inputs!$H$7,Inputs!$G$7&lt;=Inputs!$I$7,Inputs!$G$8&gt;=Inputs!$H$8,Inputs!$G$8&lt;=Inputs!$I$8,Inputs!$G$9&gt;=Inputs!$H$9,Inputs!$G$9&lt;=Inputs!$I$9,Inputs!$G$10&gt;=Inputs!$H$10,Inputs!$G$10&lt;=Inputs!$I$10)</f>
        <v>1</v>
      </c>
    </row>
    <row r="11" customFormat="false" ht="15" hidden="false" customHeight="false" outlineLevel="0" collapsed="false">
      <c r="B11" s="22" t="s">
        <v>234</v>
      </c>
      <c r="C11" s="57" t="b">
        <f aca="false">ABS(SUM(SOTP!H6:H10)-1)&lt;0.0001</f>
        <v>1</v>
      </c>
    </row>
    <row r="12" customFormat="false" ht="15" hidden="false" customHeight="false" outlineLevel="0" collapsed="false">
      <c r="B12" s="22" t="s">
        <v>235</v>
      </c>
      <c r="C12" s="57" t="b">
        <f aca="false">ABS(SOTP!$G$17-SOTP!$G$15*(1-Inputs!$C$22))&lt;0.01</f>
        <v>1</v>
      </c>
    </row>
    <row r="13" customFormat="false" ht="15" hidden="false" customHeight="false" outlineLevel="0" collapsed="false">
      <c r="B13" s="22" t="s">
        <v>236</v>
      </c>
      <c r="C13" s="57" t="b">
        <f aca="false">ABS(SOTP!$G$22-SOTP!$G$17/Inputs!$C$26)&lt;0.01</f>
        <v>1</v>
      </c>
    </row>
    <row r="14" customFormat="false" ht="15" hidden="false" customHeight="false" outlineLevel="0" collapsed="false">
      <c r="B14" s="22" t="s">
        <v>237</v>
      </c>
      <c r="C14" s="57" t="b">
        <f aca="false">ABS(Sensitivity!E8-SOTP!$G$22)&lt;0.5</f>
        <v>1</v>
      </c>
    </row>
    <row r="15" customFormat="false" ht="15" hidden="false" customHeight="false" outlineLevel="0" collapsed="false">
      <c r="B15" s="22" t="s">
        <v>238</v>
      </c>
      <c r="C15" s="57" t="b">
        <f aca="false">AND(Sensitivity!$C$21&lt;SOTP!$G$22,SOTP!$G$22&lt;Sensitivity!$C$22)</f>
        <v>1</v>
      </c>
    </row>
    <row r="16" customFormat="false" ht="15" hidden="false" customHeight="false" outlineLevel="0" collapsed="false">
      <c r="B16" s="22" t="s">
        <v>239</v>
      </c>
      <c r="C16" s="57" t="b">
        <f aca="false">ABS((Inputs!$D$6*'Market-Implied'!$C$11*Inputs!$F$6+(SOTP!$G$7+SOTP!$G$8+SOTP!$G$9+SOTP!$G$10)-Inputs!$C$20)*(1-Inputs!$C$22)/Inputs!$C$26-Inputs!$C$25)&lt;0.5</f>
        <v>1</v>
      </c>
    </row>
    <row r="17" customFormat="false" ht="15" hidden="false" customHeight="false" outlineLevel="0" collapsed="false">
      <c r="B17" s="22" t="s">
        <v>240</v>
      </c>
      <c r="C17" s="57" t="b">
        <f aca="false">AND(ISNUMBER(Peers!$D$12),ISNUMBER(Peers!$D$24),ISNUMBER(Peers!$D$38),ISNUMBER(Peers!$D$51),ISNUMBER(Peers!$D$62))</f>
        <v>1</v>
      </c>
    </row>
    <row r="18" customFormat="false" ht="15" hidden="false" customHeight="false" outlineLevel="0" collapsed="false">
      <c r="B18" s="22" t="s">
        <v>241</v>
      </c>
      <c r="C18" s="57" t="b">
        <f aca="false">AND(ABS(Peers!$D$15)&lt;=0.5,ABS(Peers!$D$27)&lt;=0.5,ABS(Peers!$D$41)&lt;=0.5,ABS(Peers!$D$54)&lt;=0.5,ABS(Peers!$D$65)&lt;=0.5)</f>
        <v>1</v>
      </c>
    </row>
    <row r="19" customFormat="false" ht="15" hidden="false" customHeight="false" outlineLevel="0" collapsed="false">
      <c r="B19" s="22" t="s">
        <v>242</v>
      </c>
      <c r="C19" s="57" t="b">
        <f aca="false">Peers!$B$6="BHARTIARTL.NS"</f>
        <v>1</v>
      </c>
    </row>
    <row r="20" customFormat="false" ht="15" hidden="false" customHeight="false" outlineLevel="0" collapsed="false">
      <c r="B20" s="22" t="s">
        <v>243</v>
      </c>
      <c r="C20" s="57" t="b">
        <f aca="false">AND(Inputs!$C$25&gt;=Inputs!$C$29-1,Inputs!$C$25&lt;=Inputs!$C$30+1)</f>
        <v>1</v>
      </c>
    </row>
    <row r="22" customFormat="false" ht="15" hidden="false" customHeight="false" outlineLevel="0" collapsed="false">
      <c r="B22" s="58" t="s">
        <v>244</v>
      </c>
      <c r="C22" s="59" t="str">
        <f aca="false">IF(COUNTIF(C5:C20,FALSE())=0,"MODEL OK","CHECK FAILED")</f>
        <v>MODEL OK</v>
      </c>
    </row>
    <row r="24" customFormat="false" ht="33.75" hidden="false" customHeight="true" outlineLevel="0" collapsed="false">
      <c r="B24" s="21" t="s">
        <v>245</v>
      </c>
      <c r="C24" s="21"/>
      <c r="D24" s="21"/>
      <c r="E24" s="21"/>
    </row>
  </sheetData>
  <mergeCells count="1">
    <mergeCell ref="B24:E24"/>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&amp;L&amp;"Arial,Bold"&amp;8Reliance Industries — Sum-of-the-Parts Valuation&amp;R&amp;"Arial,Regular"&amp;8Checks</oddHeader>
    <oddFooter>&amp;L&amp;"Arial,Regular"&amp;8Jainam Mehta · github.com/jainammehta1215/ib-portfolio&amp;C&amp;"Arial,Regular"&amp;8Blue = input · Black = formula · Green = link&amp;R&amp;"Arial,Regular"&amp;8Page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2026-09-18T07:56:58Z</dcterms:created>
  <dc:creator>openpyxl</dc:creator>
  <dc:description/>
  <dc:language>en-US</dc:language>
  <cp:lastModifiedBy/>
  <dcterms:modified xsi:type="dcterms:W3CDTF">2026-09-18T07:56:58Z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