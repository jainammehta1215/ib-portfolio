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Sources &amp; Uses" sheetId="3" state="visible" r:id="rId5"/>
    <sheet name="Model" sheetId="4" state="visible" r:id="rId6"/>
    <sheet name="Debt Schedule" sheetId="5" state="visible" r:id="rId7"/>
    <sheet name="Returns" sheetId="6" state="visible" r:id="rId8"/>
    <sheet name="Sensitivity" sheetId="7" state="visible" r:id="rId9"/>
    <sheet name="Summary" sheetId="8" state="visible" r:id="rId10"/>
    <sheet name="Checks" sheetId="9" state="visible" r:id="rId11"/>
  </sheets>
  <definedNames>
    <definedName function="false" hidden="false" localSheetId="8" name="_xlnm.Print_Area" vbProcedure="false">Checks!$A$1:$E$24</definedName>
    <definedName function="false" hidden="false" localSheetId="0" name="_xlnm.Print_Area" vbProcedure="false">Cover!$A$1:$F$45</definedName>
    <definedName function="false" hidden="false" localSheetId="4" name="_xlnm.Print_Area" vbProcedure="false">'Debt Schedule'!$A$1:$I$35</definedName>
    <definedName function="false" hidden="false" localSheetId="4" name="_xlnm.Print_Titles" vbProcedure="false">'Debt Schedule'!$1:$5</definedName>
    <definedName function="false" hidden="false" localSheetId="1" name="_xlnm.Print_Area" vbProcedure="false">Inputs!$A$1:$F$43</definedName>
    <definedName function="false" hidden="false" localSheetId="3" name="_xlnm.Print_Area" vbProcedure="false">Model!$A$1:$I$18</definedName>
    <definedName function="false" hidden="false" localSheetId="3" name="_xlnm.Print_Titles" vbProcedure="false">Model!$1:$5</definedName>
    <definedName function="false" hidden="false" localSheetId="5" name="_xlnm.Print_Area" vbProcedure="false">Returns!$A$1:$F$27</definedName>
    <definedName function="false" hidden="false" localSheetId="6" name="_xlnm.Print_Area" vbProcedure="false">Sensitivity!$A$1:$H$20</definedName>
    <definedName function="false" hidden="false" localSheetId="2" name="_xlnm.Print_Area" vbProcedure="false">'Sources &amp; Uses'!$A$1:$F$29</definedName>
    <definedName function="false" hidden="false" localSheetId="7" name="_xlnm.Print_Area" vbProcedure="false">Summary!$A$1:$F$26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<sst xmlns="http://schemas.openxmlformats.org/spreadsheetml/2006/main" count="254" uniqueCount="218">
  <si>
    <t xml:space="preserve">IB PORTFOLIO · PROJECT 07 OF 20</t>
  </si>
  <si>
    <t xml:space="preserve">Cognizant Technology Solutions</t>
  </si>
  <si>
    <t xml:space="preserve">Leveraged Buyout — Debt Schedule and Returns</t>
  </si>
  <si>
    <t xml:space="preserve">Jainam Mehta   ·   US$ millions unless stated   ·   as of FY2025 10-K · market data 12 Sep 2026</t>
  </si>
  <si>
    <t xml:space="preserve">What this is</t>
  </si>
  <si>
    <t xml:space="preserve">A hypothetical take-private of Cognizant Technology Solutions by a financial sponsor, built on the FY2025 10-K and 12 September 2026 market data. Cognizant is used because Projects 3 and 4 already cover IT-services trading multiples and precedent M&amp;A, so the sponsor's view of value can be set beside both.</t>
  </si>
  <si>
    <t xml:space="preserve">How it is built</t>
  </si>
  <si>
    <t xml:space="preserve">•  Sources and uses from an offer premium, with debt sized as a multiple of EBITDA across a term loan and senior notes, and the sponsor equity falling out as the balancing figure.</t>
  </si>
  <si>
    <t xml:space="preserve">•  A five-year debt schedule with mandatory amortisation and a full cash sweep, interest charged on opening balances so the model never needs iterative calculation switched on.</t>
  </si>
  <si>
    <t xml:space="preserve">•  Returns by money multiple and IRR, a value-creation bridge splitting the return between debt paydown, EBITDA growth and multiple change, and two live sensitivity grids.</t>
  </si>
  <si>
    <t xml:space="preserve">•  A solve for the maximum price a sponsor could pay and still clear a 20% return — the LBO floor that belongs on Project 5's football field.</t>
  </si>
  <si>
    <t xml:space="preserve">Contents</t>
  </si>
  <si>
    <t xml:space="preserve">Summary  —  the transaction, the return and the maximum price</t>
  </si>
  <si>
    <t xml:space="preserve">Sources &amp; Uses  —  offer, debt quantum, fees and the equity cheque</t>
  </si>
  <si>
    <t xml:space="preserve">Model  —  operating forecast and free cash flow</t>
  </si>
  <si>
    <t xml:space="preserve">Debt Schedule  —  tranches, amortisation, sweep, interest and credit statistics</t>
  </si>
  <si>
    <t xml:space="preserve">Returns  —  exit, MOIC, IRR, value bridge and the hurdle-clearing price</t>
  </si>
  <si>
    <t xml:space="preserve">Sensitivity  —  IRR across premium, exit multiple and leverage</t>
  </si>
  <si>
    <t xml:space="preserve">Inputs  —  standalone financials, deal terms, debt pricing and the operating case</t>
  </si>
  <si>
    <t xml:space="preserve">Checks  —  sixteen tests; must read MODEL OK</t>
  </si>
  <si>
    <t xml:space="preserve">Key outputs (live)</t>
  </si>
  <si>
    <t xml:space="preserve">Offer price per share (US$)</t>
  </si>
  <si>
    <t xml:space="preserve">Entry EV / EBITDA</t>
  </si>
  <si>
    <t xml:space="preserve">Sponsor equity cheque (US$m)</t>
  </si>
  <si>
    <t xml:space="preserve">Money multiple</t>
  </si>
  <si>
    <t xml:space="preserve">Internal rate of return</t>
  </si>
  <si>
    <t xml:space="preserve">Maximum price at a 20% return (US$)</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</si>
  <si>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</si>
  <si>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</si>
  <si>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</si>
  <si>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</si>
  <si>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</si>
  <si>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</si>
  <si>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Cognizant Technology Solutions FY2025 Form 10-K (year to 31 December 2025), via the Yahoo Finance fundamentals series for CTSH.</t>
  </si>
  <si>
    <t xml:space="preserve">Share price and 52-week range: NASDAQ close, 12 September 2026.</t>
  </si>
  <si>
    <t xml:space="preserve">SOFR and US Treasury yields, 12 September 2026.</t>
  </si>
  <si>
    <t xml:space="preserve">Debt pricing, fee levels and the operating case are stated assumptions on the Inputs sheet, not quotations from lenders.</t>
  </si>
  <si>
    <t xml:space="preserve">The transaction is hypothetical. Nothing here suggests Cognizant is or has been in a sale process.</t>
  </si>
  <si>
    <t xml:space="preserve">Prepared by</t>
  </si>
  <si>
    <t xml:space="preserve">Jainam Mehta · github.com/jainammehta1215/ib-portfolio</t>
  </si>
  <si>
    <t xml:space="preserve">Cognizant Technology Solutions — Leveraged Buyout — Debt Schedule and Returns</t>
  </si>
  <si>
    <t xml:space="preserve">IB PORTFOLIO</t>
  </si>
  <si>
    <t xml:space="preserve">Standalone financials, deal terms, debt structure and operating case</t>
  </si>
  <si>
    <t xml:space="preserve">COGNIZANT — FY2025A (US$m)</t>
  </si>
  <si>
    <t xml:space="preserve">Revenue</t>
  </si>
  <si>
    <t xml:space="preserve">EBITDA</t>
  </si>
  <si>
    <t xml:space="preserve">EBIT</t>
  </si>
  <si>
    <t xml:space="preserve">Depreciation and amortisation</t>
  </si>
  <si>
    <t xml:space="preserve">Capital expenditure</t>
  </si>
  <si>
    <t xml:space="preserve">Total debt</t>
  </si>
  <si>
    <t xml:space="preserve">Cash and equivalents</t>
  </si>
  <si>
    <t xml:space="preserve">Shares outstanding (m)</t>
  </si>
  <si>
    <t xml:space="preserve">Share price (US$, 12 Sep 2026)</t>
  </si>
  <si>
    <t xml:space="preserve">Market capitalisation</t>
  </si>
  <si>
    <t xml:space="preserve">Net debt / (net cash)</t>
  </si>
  <si>
    <t xml:space="preserve">Enterprise value, unaffected</t>
  </si>
  <si>
    <t xml:space="preserve">EV / EBITDA, unaffected</t>
  </si>
  <si>
    <t xml:space="preserve">The sector de-rated through 2026; this is the entry point that makes a take-private arithmetically possible at all</t>
  </si>
  <si>
    <t xml:space="preserve">TRANSACTION</t>
  </si>
  <si>
    <t xml:space="preserve">Offer premium to unaffected price</t>
  </si>
  <si>
    <t xml:space="preserve">Typical control premium for a US public take-private</t>
  </si>
  <si>
    <t xml:space="preserve">Minimum cash left in the business</t>
  </si>
  <si>
    <t xml:space="preserve">Financing fees as % of debt raised</t>
  </si>
  <si>
    <t xml:space="preserve">Underwriting and arrangement; capitalised and amortised over the term</t>
  </si>
  <si>
    <t xml:space="preserve">Advisory and other fees as % of transaction value</t>
  </si>
  <si>
    <t xml:space="preserve">Sell-side and buy-side advisory, legal, accounting</t>
  </si>
  <si>
    <t xml:space="preserve">Cash tax rate</t>
  </si>
  <si>
    <t xml:space="preserve">US federal plus state, blended. FY2025 reported rate was distorted by one-off items</t>
  </si>
  <si>
    <t xml:space="preserve">DEBT STRUCTURE</t>
  </si>
  <si>
    <t xml:space="preserve">Term Loan B (x EBITDA)</t>
  </si>
  <si>
    <t xml:space="preserve">Senior notes (x EBITDA)</t>
  </si>
  <si>
    <t xml:space="preserve">SOFR</t>
  </si>
  <si>
    <t xml:space="preserve">Three-month rate, 12 Sep 2026</t>
  </si>
  <si>
    <t xml:space="preserve">Term Loan B spread over SOFR</t>
  </si>
  <si>
    <t xml:space="preserve">Senior notes coupon (fixed)</t>
  </si>
  <si>
    <t xml:space="preserve">Term Loan B mandatory amortisation (% of original, per year)</t>
  </si>
  <si>
    <t xml:space="preserve">Cash sweep — % of free cash flow applied to debt</t>
  </si>
  <si>
    <t xml:space="preserve">100% sweep on the term loan until it is repaid. Notes are bullet and cannot be swept</t>
  </si>
  <si>
    <t xml:space="preserve">Financing fee amortisation period (years)</t>
  </si>
  <si>
    <t xml:space="preserve">OPERATING CASE</t>
  </si>
  <si>
    <t xml:space="preserve">Increase in working capital as % of incremental revenue</t>
  </si>
  <si>
    <t xml:space="preserve">Capital expenditure as % of revenue</t>
  </si>
  <si>
    <t xml:space="preserve">FY2025 actual: 1.4%. Asset-light</t>
  </si>
  <si>
    <t xml:space="preserve">Depreciation and amortisation as % of revenue</t>
  </si>
  <si>
    <t xml:space="preserve">Exit EV / EBITDA multiple</t>
  </si>
  <si>
    <t xml:space="preserve">Below the entry multiple on purpose. Assuming multiple expansion is how an LBO model is made to lie</t>
  </si>
  <si>
    <t xml:space="preserve">Sponsor target internal rate of return</t>
  </si>
  <si>
    <t xml:space="preserve">The return the deal has to clear to be worth doing</t>
  </si>
  <si>
    <t xml:space="preserve">Revenue growth and EBITDA margin by year are set on the Model sheet, where they can be read against the historical figures. Everything else lives here.</t>
  </si>
  <si>
    <t xml:space="preserve">What the transaction costs and where the money comes from</t>
  </si>
  <si>
    <t xml:space="preserve">OFFER</t>
  </si>
  <si>
    <t xml:space="preserve">Equity purchase price</t>
  </si>
  <si>
    <t xml:space="preserve">Transaction enterprise value</t>
  </si>
  <si>
    <t xml:space="preserve">The single most important number in the model: it sets the price and, with the exit multiple, most of the return</t>
  </si>
  <si>
    <t xml:space="preserve">USES</t>
  </si>
  <si>
    <t xml:space="preserve">Purchase of equity</t>
  </si>
  <si>
    <t xml:space="preserve">Refinance existing debt</t>
  </si>
  <si>
    <t xml:space="preserve">  memo: Term Loan B raised</t>
  </si>
  <si>
    <t xml:space="preserve">  memo: Senior notes raised</t>
  </si>
  <si>
    <t xml:space="preserve">  memo: Total debt raised</t>
  </si>
  <si>
    <t xml:space="preserve">Financing fees</t>
  </si>
  <si>
    <t xml:space="preserve">Advisory and other fees</t>
  </si>
  <si>
    <t xml:space="preserve">Total uses</t>
  </si>
  <si>
    <t xml:space="preserve">SOURCES</t>
  </si>
  <si>
    <t xml:space="preserve">Term Loan B</t>
  </si>
  <si>
    <t xml:space="preserve">Senior notes</t>
  </si>
  <si>
    <t xml:space="preserve">Cash from the balance sheet</t>
  </si>
  <si>
    <t xml:space="preserve">Excess cash above the minimum operating balance is used to fund the deal</t>
  </si>
  <si>
    <t xml:space="preserve">Sponsor equity</t>
  </si>
  <si>
    <t xml:space="preserve">The cheque the fund writes, and the denominator of every return in this model</t>
  </si>
  <si>
    <t xml:space="preserve">Total sources</t>
  </si>
  <si>
    <t xml:space="preserve">Opening total leverage (x EBITDA)</t>
  </si>
  <si>
    <t xml:space="preserve">Sponsor equity as % of total capitalisation</t>
  </si>
  <si>
    <t xml:space="preserve">An equity cheque of this size would in practice be a consortium of several funds rather than one. That does not change the arithmetic — it changes who writes it — so the model treats the sponsor as a single investor.</t>
  </si>
  <si>
    <t xml:space="preserve">Operating forecast and free cash flow before debt repayment · US$ millions</t>
  </si>
  <si>
    <t xml:space="preserve">OPERATING FORECAST</t>
  </si>
  <si>
    <t xml:space="preserve">FY2025A</t>
  </si>
  <si>
    <t xml:space="preserve">FY2026E</t>
  </si>
  <si>
    <t xml:space="preserve">FY2027E</t>
  </si>
  <si>
    <t xml:space="preserve">FY2028E</t>
  </si>
  <si>
    <t xml:space="preserve">FY2029E</t>
  </si>
  <si>
    <t xml:space="preserve">FY2030E</t>
  </si>
  <si>
    <t xml:space="preserve">   Growth</t>
  </si>
  <si>
    <t xml:space="preserve">   EBITDA margin</t>
  </si>
  <si>
    <t xml:space="preserve">Increase in working capital</t>
  </si>
  <si>
    <t xml:space="preserve">FREE CASH FLOW BEFORE DEBT SERVICE</t>
  </si>
  <si>
    <t xml:space="preserve">Less: capital expenditure</t>
  </si>
  <si>
    <t xml:space="preserve">Less: increase in working capital</t>
  </si>
  <si>
    <t xml:space="preserve">Interest and cash tax are charged on the Debt Schedule, where the opening balance for each year is known. Free cash flow after debt service flows back here only as the sweep amount.</t>
  </si>
  <si>
    <t xml:space="preserve">Interest charged on opening balances · cash sweep applied to the term loan</t>
  </si>
  <si>
    <t xml:space="preserve">INTEREST AND CASH TAX</t>
  </si>
  <si>
    <t xml:space="preserve">At close</t>
  </si>
  <si>
    <t xml:space="preserve">Term Loan B — opening balance</t>
  </si>
  <si>
    <t xml:space="preserve">   Mandatory amortisation</t>
  </si>
  <si>
    <t xml:space="preserve">   Cash sweep</t>
  </si>
  <si>
    <t xml:space="preserve">Term Loan B — closing balance</t>
  </si>
  <si>
    <t xml:space="preserve">Senior notes — balance (bullet)</t>
  </si>
  <si>
    <t xml:space="preserve">Interest — Term Loan B</t>
  </si>
  <si>
    <t xml:space="preserve">Interest — senior notes</t>
  </si>
  <si>
    <t xml:space="preserve">Financing fee amortisation</t>
  </si>
  <si>
    <t xml:space="preserve">Total interest and fee amortisation</t>
  </si>
  <si>
    <t xml:space="preserve">Profit before tax</t>
  </si>
  <si>
    <t xml:space="preserve">Cash tax</t>
  </si>
  <si>
    <t xml:space="preserve">CASH AVAILABLE FOR DEBT REPAYMENT</t>
  </si>
  <si>
    <t xml:space="preserve">Less: cash interest</t>
  </si>
  <si>
    <t xml:space="preserve">Less: cash tax</t>
  </si>
  <si>
    <t xml:space="preserve">Less: mandatory amortisation</t>
  </si>
  <si>
    <t xml:space="preserve">Cash available for the sweep</t>
  </si>
  <si>
    <t xml:space="preserve">CREDIT STATISTICS</t>
  </si>
  <si>
    <t xml:space="preserve">Total debt / EBITDA</t>
  </si>
  <si>
    <t xml:space="preserve">EBITDA / cash interest</t>
  </si>
  <si>
    <t xml:space="preserve">Leverage of over five times EBITDA at close, against interest cover of roughly two and a half times, is an aggressive but financeable structure for a business with Cognizant's cash conversion. The covenant question a lender would ask is what happens to cover if revenue falls rather than grows; the sensitivity grids answer it.</t>
  </si>
  <si>
    <t xml:space="preserve">Exit, money multiple, internal rate of return and the price that clears the hurdle</t>
  </si>
  <si>
    <t xml:space="preserve">EXIT AT THE END OF YEAR 5</t>
  </si>
  <si>
    <t xml:space="preserve">Exit-year EBITDA</t>
  </si>
  <si>
    <t xml:space="preserve">Exit EV / EBITDA</t>
  </si>
  <si>
    <t xml:space="preserve">Exit enterprise value</t>
  </si>
  <si>
    <t xml:space="preserve">Less: net debt at exit</t>
  </si>
  <si>
    <t xml:space="preserve">Exit equity value</t>
  </si>
  <si>
    <t xml:space="preserve">Sponsor equity invested at close</t>
  </si>
  <si>
    <t xml:space="preserve">Money multiple (MOIC)</t>
  </si>
  <si>
    <t xml:space="preserve">A single entry and a single exit, so the IRR is the fifth root of the money multiple. No interim dividends are assumed</t>
  </si>
  <si>
    <t xml:space="preserve">Versus the 20% hurdle (percentage points)</t>
  </si>
  <si>
    <t xml:space="preserve">VALUE CREATION BRIDGE</t>
  </si>
  <si>
    <t xml:space="preserve">Debt repaid over the hold</t>
  </si>
  <si>
    <t xml:space="preserve">EBITDA growth, valued at the exit multiple</t>
  </si>
  <si>
    <t xml:space="preserve">Multiple change, valued on entry EBITDA</t>
  </si>
  <si>
    <t xml:space="preserve">Negative here because the exit multiple is set below entry on purpose</t>
  </si>
  <si>
    <t xml:space="preserve">Total value created</t>
  </si>
  <si>
    <t xml:space="preserve">THE PRICE A SPONSOR COULD ACTUALLY PAY</t>
  </si>
  <si>
    <t xml:space="preserve">Sponsor equity consistent with a 20% return</t>
  </si>
  <si>
    <t xml:space="preserve">Implied maximum equity purchase price</t>
  </si>
  <si>
    <t xml:space="preserve">Implied maximum offer price per share (US$)</t>
  </si>
  <si>
    <t xml:space="preserve">The LBO floor for Project 5's football field: what a financial buyer could pay and still clear its hurdle</t>
  </si>
  <si>
    <t xml:space="preserve">Implied maximum premium to the unaffected price</t>
  </si>
  <si>
    <t xml:space="preserve">Advisory fees move slightly with the transaction value, so the maximum price is very marginally circular. The effect is under a dollar a share and the fees are held at the base case rather than switching on iterative calculation, which would make the workbook fragile on another machine.</t>
  </si>
  <si>
    <t xml:space="preserve">Internal rate of return · every cell rebuilds the equity cheque and the exit from scratch</t>
  </si>
  <si>
    <t xml:space="preserve">IRR — OFFER PREMIUM versus EXIT MULTIPLE</t>
  </si>
  <si>
    <t xml:space="preserve">Exit EV/EBITDA  \  Offer premium</t>
  </si>
  <si>
    <t xml:space="preserve">IRR — OPENING LEVERAGE versus EXIT MULTIPLE (at the 30% base-case premium)</t>
  </si>
  <si>
    <t xml:space="preserve">Exit EV/EBITDA  \  Total leverage</t>
  </si>
  <si>
    <t xml:space="preserve">The leverage grid holds the debt paydown path at the base case and flexes only the opening quantum, so it slightly flatters high-leverage cases (more debt would mean more interest and less sweep). It is shown to illustrate the direction and size of the effect, not to price a financing.</t>
  </si>
  <si>
    <t xml:space="preserve">The transaction on one page</t>
  </si>
  <si>
    <t xml:space="preserve">THE TRANSACTION</t>
  </si>
  <si>
    <t xml:space="preserve">Premium to unaffected price</t>
  </si>
  <si>
    <t xml:space="preserve">Opening leverage (x EBITDA)</t>
  </si>
  <si>
    <t xml:space="preserve">Sponsor equity cheque</t>
  </si>
  <si>
    <t xml:space="preserve">THE RETURN</t>
  </si>
  <si>
    <t xml:space="preserve">Exit EV / EBITDA assumed</t>
  </si>
  <si>
    <t xml:space="preserve">Versus the 20% hurdle (pp)</t>
  </si>
  <si>
    <t xml:space="preserve">THE USEFUL OUTPUT</t>
  </si>
  <si>
    <t xml:space="preserve">Maximum offer price at a 20% return (US$)</t>
  </si>
  <si>
    <t xml:space="preserve">Maximum premium to the unaffected price</t>
  </si>
  <si>
    <t xml:space="preserve">Unaffected share price (US$)</t>
  </si>
  <si>
    <t xml:space="preserve">\u2022  Cognizant is buyable precisely because the sector de-rated: at roughly seven times EBITDA unaffected, a financial buyer can lever it. At twenty times, as the sector traded in 2021, no sponsor could.</t>
  </si>
  <si>
    <t xml:space="preserve">\u2022  The return is driven by debt paydown and margin expansion, not by multiple expansion — the exit multiple is set below entry on purpose. Any LBO whose return depends on selling at a higher multiple than it bought is an assumption dressed as an analysis.</t>
  </si>
  <si>
    <t xml:space="preserve">\u2022  The most useful number here is not the IRR at a 30% premium. It is the maximum price a sponsor could pay and still clear 20%, because that is the floor under the share price in any sale process, and it is the ninth bar on Project 5's football field.</t>
  </si>
  <si>
    <t xml:space="preserve">\u2022  The equity cheque is large enough that this would be a consortium deal. The arithmetic is unchanged; the practicality is not.</t>
  </si>
  <si>
    <t xml:space="preserve">Every check must read TRUE</t>
  </si>
  <si>
    <t xml:space="preserve">INTEGRITY CHECKS</t>
  </si>
  <si>
    <t xml:space="preserve">Sources equal uses</t>
  </si>
  <si>
    <t xml:space="preserve">Sponsor equity is positive</t>
  </si>
  <si>
    <t xml:space="preserve">Opening leverage equals the sum of the tranches</t>
  </si>
  <si>
    <t xml:space="preserve">Term loan balance never goes negative</t>
  </si>
  <si>
    <t xml:space="preserve">Term loan closing balance ties to opening less repayments</t>
  </si>
  <si>
    <t xml:space="preserve">Debt falls over the hold</t>
  </si>
  <si>
    <t xml:space="preserve">Cash available for the sweep is positive in every year</t>
  </si>
  <si>
    <t xml:space="preserve">Interest cover stays above 1.5x in every year</t>
  </si>
  <si>
    <t xml:space="preserve">Leverage falls every year</t>
  </si>
  <si>
    <t xml:space="preserve">Exit equity ties to exit enterprise value less net debt</t>
  </si>
  <si>
    <t xml:space="preserve">Money multiple and IRR are consistent</t>
  </si>
  <si>
    <t xml:space="preserve">Exit multiple is not above the entry multiple</t>
  </si>
  <si>
    <t xml:space="preserve">The maximum price is below the assumed offer price when the deal misses the hurdle</t>
  </si>
  <si>
    <t xml:space="preserve">Base-case sensitivity cell reconciles to the Returns sheet</t>
  </si>
  <si>
    <t xml:space="preserve">Entry EV/EBITDA is above the unaffected multiple</t>
  </si>
  <si>
    <t xml:space="preserve">Standalone figures tie to the reported FY2025 accounts</t>
  </si>
  <si>
    <t xml:space="preserve">MODEL STATUS</t>
  </si>
  <si>
    <t xml:space="preserve">The check that the exit multiple is not above the entry multiple is a discipline check, not an arithmetic one. It fails the model if someone later raises the exit assumption to make the return work, which is the single most common way an LBO model is quietly bent.</t>
  </si>
</sst>
</file>

<file path=xl/styles.xml><?xml version="1.0" encoding="utf-8"?>
<styleSheet xmlns="http://schemas.openxmlformats.org/spreadsheetml/2006/main">
  <numFmts count="7">
    <numFmt numFmtId="164" formatCode="General"/>
    <numFmt numFmtId="165" formatCode="#,##0.00;\(#,##0.00\);\-"/>
    <numFmt numFmtId="166" formatCode="0.0\x"/>
    <numFmt numFmtId="167" formatCode="#,##0;\(#,##0\);\-"/>
    <numFmt numFmtId="168" formatCode="0.0%;\(0.0%\);\-"/>
    <numFmt numFmtId="169" formatCode="0"/>
    <numFmt numFmtId="170"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C0392B"/>
      <name val="Arial"/>
      <family val="0"/>
      <charset val="1"/>
    </font>
    <font>
      <b val="true"/>
      <sz val="24"/>
      <color rgb="FF1F3A5F"/>
      <name val="Arial"/>
      <family val="0"/>
      <charset val="1"/>
    </font>
    <font>
      <sz val="15"/>
      <color rgb="FF5F6B7A"/>
      <name val="Arial"/>
      <family val="0"/>
      <charset val="1"/>
    </font>
    <font>
      <i val="true"/>
      <sz val="9"/>
      <color rgb="FF7F7F7F"/>
      <name val="Arial"/>
      <family val="0"/>
      <charset val="1"/>
    </font>
    <font>
      <b val="true"/>
      <sz val="10"/>
      <color rgb="FF1F3A5F"/>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1F3A5F"/>
      <name val="Arial"/>
      <family val="0"/>
      <charset val="1"/>
    </font>
    <font>
      <b val="true"/>
      <sz val="12"/>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C0392B"/>
        <bgColor rgb="FF993366"/>
      </patternFill>
    </fill>
    <fill>
      <patternFill patternType="solid">
        <fgColor rgb="FFECF0F4"/>
        <bgColor rgb="FFFFFFFF"/>
      </patternFill>
    </fill>
    <fill>
      <patternFill patternType="solid">
        <fgColor rgb="FF5F6B7A"/>
        <bgColor rgb="FF7F7F7F"/>
      </patternFill>
    </fill>
  </fills>
  <borders count="3">
    <border diagonalUp="false" diagonalDown="false">
      <left/>
      <right/>
      <top/>
      <bottom/>
      <diagonal/>
    </border>
    <border diagonalUp="false" diagonalDown="false">
      <left/>
      <right/>
      <top style="thin"/>
      <bottom style="double"/>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8"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7" fontId="13" fillId="0" borderId="2" xfId="0" applyFont="true" applyBorder="true" applyAlignment="false" applyProtection="false">
      <alignment horizontal="general" vertical="bottom" textRotation="0" wrapText="false" indent="0" shrinkToFit="false"/>
      <protection locked="true" hidden="false"/>
    </xf>
    <xf numFmtId="167" fontId="12" fillId="0" borderId="2"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8" fontId="17" fillId="5" borderId="0" xfId="0" applyFont="true" applyBorder="false" applyAlignment="true" applyProtection="false">
      <alignment horizontal="center"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8" fontId="18" fillId="3" borderId="0" xfId="0" applyFont="true" applyBorder="false" applyAlignment="false" applyProtection="false">
      <alignment horizontal="general" vertical="bottom" textRotation="0" wrapText="false" indent="0" shrinkToFit="false"/>
      <protection locked="true" hidden="false"/>
    </xf>
    <xf numFmtId="166" fontId="17" fillId="5"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CF0F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6B7A"/>
      <rgbColor rgb="FF969696"/>
      <rgbColor rgb="FF1F3A5F"/>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Cognizant_LBO.xlsx" TargetMode="External"/><Relationship Id="rId2" Type="http://schemas.openxmlformats.org/officeDocument/2006/relationships/hyperlink" Target="Cognizant_LBO.xlsx" TargetMode="External"/><Relationship Id="rId3" Type="http://schemas.openxmlformats.org/officeDocument/2006/relationships/hyperlink" Target="Cognizant_LBO.xlsx" TargetMode="External"/><Relationship Id="rId4" Type="http://schemas.openxmlformats.org/officeDocument/2006/relationships/hyperlink" Target="Cognizant_LBO.xlsx" TargetMode="External"/><Relationship Id="rId5" Type="http://schemas.openxmlformats.org/officeDocument/2006/relationships/hyperlink" Target="Cognizant_LBO.xlsx" TargetMode="External"/><Relationship Id="rId6" Type="http://schemas.openxmlformats.org/officeDocument/2006/relationships/hyperlink" Target="Cognizant_LBO.xlsx" TargetMode="External"/><Relationship Id="rId7" Type="http://schemas.openxmlformats.org/officeDocument/2006/relationships/hyperlink" Target="Cognizant_LBO.xlsx" TargetMode="External"/><Relationship Id="rId8" Type="http://schemas.openxmlformats.org/officeDocument/2006/relationships/hyperlink" Target="Cognizant_LBO.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30" hidden="false" customHeight="true" outlineLevel="0" collapsed="false">
      <c r="A11" s="1"/>
      <c r="B11" s="7" t="s">
        <v>6</v>
      </c>
      <c r="C11" s="8" t="s">
        <v>7</v>
      </c>
      <c r="D11" s="8"/>
      <c r="E11" s="8"/>
      <c r="F11" s="8"/>
    </row>
    <row r="12" customFormat="false" ht="30"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c r="C23" s="9" t="s">
        <v>19</v>
      </c>
      <c r="D23" s="9"/>
      <c r="E23" s="9"/>
      <c r="F23" s="9"/>
    </row>
    <row r="24" customFormat="false" ht="15" hidden="false" customHeight="false" outlineLevel="0" collapsed="false">
      <c r="A24" s="1"/>
    </row>
    <row r="25" customFormat="false" ht="15" hidden="false" customHeight="false" outlineLevel="0" collapsed="false">
      <c r="A25" s="1"/>
      <c r="B25" s="7" t="s">
        <v>20</v>
      </c>
      <c r="C25" s="10" t="s">
        <v>21</v>
      </c>
      <c r="D25" s="11"/>
      <c r="E25" s="12" t="n">
        <f aca="false">'Sources &amp; Uses'!$C$5</f>
        <v>81.3605</v>
      </c>
    </row>
    <row r="26" customFormat="false" ht="15" hidden="false" customHeight="false" outlineLevel="0" collapsed="false">
      <c r="A26" s="1"/>
      <c r="C26" s="10" t="s">
        <v>22</v>
      </c>
      <c r="D26" s="11"/>
      <c r="E26" s="13" t="n">
        <f aca="false">'Sources &amp; Uses'!$C$8</f>
        <v>9.58065027053615</v>
      </c>
    </row>
    <row r="27" customFormat="false" ht="15" hidden="false" customHeight="false" outlineLevel="0" collapsed="false">
      <c r="A27" s="1"/>
      <c r="C27" s="10" t="s">
        <v>23</v>
      </c>
      <c r="D27" s="11"/>
      <c r="E27" s="14" t="n">
        <f aca="false">'Sources &amp; Uses'!$C$24</f>
        <v>18924.90324</v>
      </c>
    </row>
    <row r="28" customFormat="false" ht="15" hidden="false" customHeight="false" outlineLevel="0" collapsed="false">
      <c r="A28" s="1"/>
      <c r="C28" s="10" t="s">
        <v>24</v>
      </c>
      <c r="D28" s="11"/>
      <c r="E28" s="13" t="n">
        <f aca="false">Returns!$C$12</f>
        <v>2.00177967325927</v>
      </c>
    </row>
    <row r="29" customFormat="false" ht="15" hidden="false" customHeight="false" outlineLevel="0" collapsed="false">
      <c r="A29" s="1"/>
      <c r="C29" s="10" t="s">
        <v>25</v>
      </c>
      <c r="D29" s="11"/>
      <c r="E29" s="15" t="n">
        <f aca="false">Returns!$C$13</f>
        <v>0.148902713046399</v>
      </c>
    </row>
    <row r="30" customFormat="false" ht="15" hidden="false" customHeight="false" outlineLevel="0" collapsed="false">
      <c r="A30" s="1"/>
      <c r="C30" s="10" t="s">
        <v>26</v>
      </c>
      <c r="D30" s="11"/>
      <c r="E30" s="12" t="n">
        <f aca="false">Returns!$C$25</f>
        <v>73.7777548853767</v>
      </c>
    </row>
    <row r="31" customFormat="false" ht="15" hidden="false" customHeight="false" outlineLevel="0" collapsed="false">
      <c r="A31" s="1"/>
    </row>
    <row r="32" customFormat="false" ht="15" hidden="false" customHeight="false" outlineLevel="0" collapsed="false">
      <c r="A32" s="1"/>
      <c r="B32" s="7" t="s">
        <v>27</v>
      </c>
      <c r="C32" s="16" t="s">
        <v>28</v>
      </c>
    </row>
    <row r="33" customFormat="false" ht="15" hidden="false" customHeight="false" outlineLevel="0" collapsed="false">
      <c r="A33" s="1"/>
      <c r="C33" s="17" t="s">
        <v>29</v>
      </c>
    </row>
    <row r="34" customFormat="false" ht="15" hidden="false" customHeight="false" outlineLevel="0" collapsed="false">
      <c r="A34" s="1"/>
      <c r="C34" s="18" t="s">
        <v>30</v>
      </c>
    </row>
    <row r="35" customFormat="false" ht="15" hidden="false" customHeight="false" outlineLevel="0" collapsed="false">
      <c r="A35" s="1"/>
      <c r="C35" s="19" t="s">
        <v>31</v>
      </c>
    </row>
    <row r="36" customFormat="false" ht="15" hidden="false" customHeight="false" outlineLevel="0" collapsed="false">
      <c r="A36" s="1"/>
    </row>
    <row r="37" customFormat="false" ht="27.75" hidden="false" customHeight="true" outlineLevel="0" collapsed="false">
      <c r="A37" s="1"/>
      <c r="B37" s="7" t="s">
        <v>32</v>
      </c>
      <c r="C37" s="20" t="s">
        <v>33</v>
      </c>
      <c r="D37" s="20"/>
      <c r="E37" s="20"/>
      <c r="F37" s="20"/>
    </row>
    <row r="38" customFormat="false" ht="13.5" hidden="false" customHeight="true" outlineLevel="0" collapsed="false">
      <c r="A38" s="1"/>
      <c r="C38" s="20" t="s">
        <v>34</v>
      </c>
      <c r="D38" s="20"/>
      <c r="E38" s="20"/>
      <c r="F38" s="20"/>
    </row>
    <row r="39" customFormat="false" ht="13.5" hidden="false" customHeight="true" outlineLevel="0" collapsed="false">
      <c r="A39" s="1"/>
      <c r="C39" s="20" t="s">
        <v>35</v>
      </c>
      <c r="D39" s="20"/>
      <c r="E39" s="20"/>
      <c r="F39" s="20"/>
    </row>
    <row r="40" customFormat="false" ht="27.75" hidden="false" customHeight="true" outlineLevel="0" collapsed="false">
      <c r="A40" s="1"/>
      <c r="C40" s="20" t="s">
        <v>36</v>
      </c>
      <c r="D40" s="20"/>
      <c r="E40" s="20"/>
      <c r="F40" s="20"/>
    </row>
    <row r="41" customFormat="false" ht="27.75" hidden="false" customHeight="true" outlineLevel="0" collapsed="false">
      <c r="A41" s="1"/>
      <c r="C41" s="20" t="s">
        <v>37</v>
      </c>
      <c r="D41" s="20"/>
      <c r="E41" s="20"/>
      <c r="F41" s="20"/>
    </row>
    <row r="42" customFormat="false" ht="15" hidden="false" customHeight="false" outlineLevel="0" collapsed="false">
      <c r="A42" s="1"/>
    </row>
    <row r="43" customFormat="false" ht="15" hidden="false" customHeight="false" outlineLevel="0" collapsed="false">
      <c r="A43" s="1"/>
      <c r="B43" s="7" t="s">
        <v>38</v>
      </c>
      <c r="C43" s="21" t="s">
        <v>39</v>
      </c>
    </row>
    <row r="44" customFormat="false" ht="15" hidden="false" customHeight="false" outlineLevel="0" collapsed="false">
      <c r="A44" s="1"/>
    </row>
    <row r="45" customFormat="false" ht="15" hidden="false" customHeight="false" outlineLevel="0" collapsed="false">
      <c r="A45" s="1"/>
    </row>
  </sheetData>
  <mergeCells count="18">
    <mergeCell ref="C9:F9"/>
    <mergeCell ref="C11:F11"/>
    <mergeCell ref="C12:F12"/>
    <mergeCell ref="C13:F13"/>
    <mergeCell ref="C14:F14"/>
    <mergeCell ref="C16:F16"/>
    <mergeCell ref="C17:F17"/>
    <mergeCell ref="C18:F18"/>
    <mergeCell ref="C19:F19"/>
    <mergeCell ref="C20:F20"/>
    <mergeCell ref="C21:F21"/>
    <mergeCell ref="C22:F22"/>
    <mergeCell ref="C23:F23"/>
    <mergeCell ref="C37:F37"/>
    <mergeCell ref="C38:F38"/>
    <mergeCell ref="C39:F39"/>
    <mergeCell ref="C40:F40"/>
    <mergeCell ref="C41:F41"/>
  </mergeCells>
  <hyperlinks>
    <hyperlink ref="C16" r:id="rId1" location="'Summary'!A1" display="Summary  —  the transaction, the return and the maximum price"/>
    <hyperlink ref="C17" r:id="rId2" location="'Sources%20&amp;%20Uses'!A1" display="Sources &amp; Uses  —  offer, debt quantum, fees and the equity cheque"/>
    <hyperlink ref="C18" r:id="rId3" location="'Model'!A1" display="Model  —  operating forecast and free cash flow"/>
    <hyperlink ref="C19" r:id="rId4" location="'Debt%20Schedule'!A1" display="Debt Schedule  —  tranches, amortisation, sweep, interest and credit statistics"/>
    <hyperlink ref="C20" r:id="rId5" location="'Returns'!A1" display="Returns  —  exit, MOIC, IRR, value bridge and the hurdle-clearing price"/>
    <hyperlink ref="C21" r:id="rId6" location="'Sensitivity'!A1" display="Sensitivity  —  IRR across premium, exit multiple and leverage"/>
    <hyperlink ref="C22" r:id="rId7" location="'Inputs'!A1" display="Inputs  —  standalone financials, deal terms, debt pricing and the operating case"/>
    <hyperlink ref="C23" r:id="rId8" location="'Checks'!A1" display="Checks  —  six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&amp;L&amp;"Arial,Bold"&amp;8Cognizant Technology Solutions — Leveraged Buyout — Debt Schedule and Returns&amp;R&amp;"Arial,Regular"&amp;8Cover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4"/>
    <col collapsed="false" customWidth="true" hidden="false" outlineLevel="0" max="5" min="3" style="0" width="14"/>
    <col collapsed="false" customWidth="true" hidden="false" outlineLevel="0" max="6" min="6" style="0" width="58"/>
  </cols>
  <sheetData>
    <row r="1" customFormat="false" ht="30" hidden="false" customHeight="true" outlineLevel="0" collapsed="false">
      <c r="A1" s="1"/>
      <c r="B1" s="22" t="s">
        <v>40</v>
      </c>
      <c r="C1" s="1"/>
      <c r="D1" s="1"/>
      <c r="E1" s="1"/>
      <c r="F1" s="23" t="s">
        <v>41</v>
      </c>
    </row>
    <row r="2" customFormat="false" ht="18" hidden="false" customHeight="true" outlineLevel="0" collapsed="false">
      <c r="A2" s="1"/>
      <c r="B2" s="24" t="s">
        <v>42</v>
      </c>
      <c r="C2" s="1"/>
      <c r="D2" s="1"/>
      <c r="E2" s="1"/>
      <c r="F2" s="1"/>
    </row>
    <row r="4" customFormat="false" ht="15.75" hidden="false" customHeight="true" outlineLevel="0" collapsed="false">
      <c r="B4" s="25" t="s">
        <v>43</v>
      </c>
      <c r="C4" s="1"/>
      <c r="D4" s="1"/>
      <c r="E4" s="1"/>
      <c r="F4" s="1"/>
    </row>
    <row r="5" customFormat="false" ht="15" hidden="false" customHeight="false" outlineLevel="0" collapsed="false">
      <c r="B5" s="21" t="s">
        <v>44</v>
      </c>
      <c r="C5" s="26" t="n">
        <v>21108</v>
      </c>
    </row>
    <row r="6" customFormat="false" ht="15" hidden="false" customHeight="false" outlineLevel="0" collapsed="false">
      <c r="B6" s="21" t="s">
        <v>45</v>
      </c>
      <c r="C6" s="26" t="n">
        <v>4066</v>
      </c>
    </row>
    <row r="7" customFormat="false" ht="15" hidden="false" customHeight="false" outlineLevel="0" collapsed="false">
      <c r="B7" s="21" t="s">
        <v>46</v>
      </c>
      <c r="C7" s="26" t="n">
        <v>3327</v>
      </c>
    </row>
    <row r="8" customFormat="false" ht="15" hidden="false" customHeight="false" outlineLevel="0" collapsed="false">
      <c r="B8" s="21" t="s">
        <v>47</v>
      </c>
      <c r="C8" s="26" t="n">
        <v>550</v>
      </c>
    </row>
    <row r="9" customFormat="false" ht="15" hidden="false" customHeight="false" outlineLevel="0" collapsed="false">
      <c r="B9" s="21" t="s">
        <v>48</v>
      </c>
      <c r="C9" s="26" t="n">
        <v>288</v>
      </c>
    </row>
    <row r="10" customFormat="false" ht="15" hidden="false" customHeight="false" outlineLevel="0" collapsed="false">
      <c r="B10" s="21" t="s">
        <v>49</v>
      </c>
      <c r="C10" s="26" t="n">
        <v>1152</v>
      </c>
    </row>
    <row r="11" customFormat="false" ht="15" hidden="false" customHeight="false" outlineLevel="0" collapsed="false">
      <c r="B11" s="21" t="s">
        <v>50</v>
      </c>
      <c r="C11" s="26" t="n">
        <v>1901</v>
      </c>
    </row>
    <row r="12" customFormat="false" ht="15" hidden="false" customHeight="false" outlineLevel="0" collapsed="false">
      <c r="B12" s="21" t="s">
        <v>51</v>
      </c>
      <c r="C12" s="26" t="n">
        <v>488</v>
      </c>
    </row>
    <row r="13" customFormat="false" ht="15" hidden="false" customHeight="false" outlineLevel="0" collapsed="false">
      <c r="B13" s="21" t="s">
        <v>52</v>
      </c>
      <c r="C13" s="27" t="n">
        <v>62.585</v>
      </c>
    </row>
    <row r="14" customFormat="false" ht="15" hidden="false" customHeight="false" outlineLevel="0" collapsed="false">
      <c r="B14" s="21" t="s">
        <v>53</v>
      </c>
      <c r="C14" s="28" t="n">
        <f aca="false">Inputs!$C$13*Inputs!$C$12</f>
        <v>30541.48</v>
      </c>
    </row>
    <row r="15" customFormat="false" ht="15" hidden="false" customHeight="false" outlineLevel="0" collapsed="false">
      <c r="B15" s="21" t="s">
        <v>54</v>
      </c>
      <c r="C15" s="28" t="n">
        <f aca="false">Inputs!$C$10-Inputs!$C$11</f>
        <v>-749</v>
      </c>
    </row>
    <row r="16" customFormat="false" ht="15" hidden="false" customHeight="false" outlineLevel="0" collapsed="false">
      <c r="B16" s="21" t="s">
        <v>55</v>
      </c>
      <c r="C16" s="28" t="n">
        <f aca="false">Inputs!$C$14+Inputs!$C$15</f>
        <v>29792.48</v>
      </c>
    </row>
    <row r="17" customFormat="false" ht="22.35" hidden="false" customHeight="false" outlineLevel="0" collapsed="false">
      <c r="B17" s="21" t="s">
        <v>56</v>
      </c>
      <c r="C17" s="29" t="n">
        <f aca="false">Inputs!$C$16/Inputs!$C$6</f>
        <v>7.32722085587801</v>
      </c>
      <c r="F17" s="30" t="s">
        <v>57</v>
      </c>
    </row>
    <row r="19" customFormat="false" ht="15.75" hidden="false" customHeight="true" outlineLevel="0" collapsed="false">
      <c r="B19" s="25" t="s">
        <v>58</v>
      </c>
      <c r="C19" s="1"/>
      <c r="D19" s="1"/>
      <c r="E19" s="1"/>
      <c r="F19" s="1"/>
    </row>
    <row r="20" customFormat="false" ht="15" hidden="false" customHeight="false" outlineLevel="0" collapsed="false">
      <c r="B20" s="21" t="s">
        <v>59</v>
      </c>
      <c r="C20" s="31" t="n">
        <v>0.3</v>
      </c>
      <c r="F20" s="30" t="s">
        <v>60</v>
      </c>
    </row>
    <row r="21" customFormat="false" ht="15" hidden="false" customHeight="false" outlineLevel="0" collapsed="false">
      <c r="B21" s="21" t="s">
        <v>61</v>
      </c>
      <c r="C21" s="26" t="n">
        <v>500</v>
      </c>
    </row>
    <row r="22" customFormat="false" ht="15" hidden="false" customHeight="false" outlineLevel="0" collapsed="false">
      <c r="B22" s="21" t="s">
        <v>62</v>
      </c>
      <c r="C22" s="31" t="n">
        <v>0.02</v>
      </c>
      <c r="F22" s="30" t="s">
        <v>63</v>
      </c>
    </row>
    <row r="23" customFormat="false" ht="15" hidden="false" customHeight="false" outlineLevel="0" collapsed="false">
      <c r="B23" s="21" t="s">
        <v>64</v>
      </c>
      <c r="C23" s="31" t="n">
        <v>0.01</v>
      </c>
      <c r="F23" s="30" t="s">
        <v>65</v>
      </c>
    </row>
    <row r="24" customFormat="false" ht="22.35" hidden="false" customHeight="false" outlineLevel="0" collapsed="false">
      <c r="B24" s="21" t="s">
        <v>66</v>
      </c>
      <c r="C24" s="31" t="n">
        <v>0.25</v>
      </c>
      <c r="F24" s="30" t="s">
        <v>67</v>
      </c>
    </row>
    <row r="26" customFormat="false" ht="15.75" hidden="false" customHeight="true" outlineLevel="0" collapsed="false">
      <c r="B26" s="25" t="s">
        <v>68</v>
      </c>
      <c r="C26" s="1"/>
      <c r="D26" s="1"/>
      <c r="E26" s="1"/>
      <c r="F26" s="1"/>
    </row>
    <row r="27" customFormat="false" ht="15" hidden="false" customHeight="false" outlineLevel="0" collapsed="false">
      <c r="B27" s="21" t="s">
        <v>69</v>
      </c>
      <c r="C27" s="32" t="n">
        <v>3</v>
      </c>
    </row>
    <row r="28" customFormat="false" ht="15" hidden="false" customHeight="false" outlineLevel="0" collapsed="false">
      <c r="B28" s="21" t="s">
        <v>70</v>
      </c>
      <c r="C28" s="32" t="n">
        <v>2.25</v>
      </c>
    </row>
    <row r="29" customFormat="false" ht="15" hidden="false" customHeight="false" outlineLevel="0" collapsed="false">
      <c r="B29" s="21" t="s">
        <v>71</v>
      </c>
      <c r="C29" s="31" t="n">
        <v>0.0395</v>
      </c>
      <c r="F29" s="30" t="s">
        <v>72</v>
      </c>
    </row>
    <row r="30" customFormat="false" ht="15" hidden="false" customHeight="false" outlineLevel="0" collapsed="false">
      <c r="B30" s="21" t="s">
        <v>73</v>
      </c>
      <c r="C30" s="31" t="n">
        <v>0.035</v>
      </c>
    </row>
    <row r="31" customFormat="false" ht="15" hidden="false" customHeight="false" outlineLevel="0" collapsed="false">
      <c r="B31" s="21" t="s">
        <v>74</v>
      </c>
      <c r="C31" s="31" t="n">
        <v>0.085</v>
      </c>
    </row>
    <row r="32" customFormat="false" ht="15" hidden="false" customHeight="false" outlineLevel="0" collapsed="false">
      <c r="B32" s="21" t="s">
        <v>75</v>
      </c>
      <c r="C32" s="31" t="n">
        <v>0.01</v>
      </c>
    </row>
    <row r="33" customFormat="false" ht="22.35" hidden="false" customHeight="false" outlineLevel="0" collapsed="false">
      <c r="B33" s="21" t="s">
        <v>76</v>
      </c>
      <c r="C33" s="31" t="n">
        <v>1</v>
      </c>
      <c r="F33" s="30" t="s">
        <v>77</v>
      </c>
    </row>
    <row r="34" customFormat="false" ht="15" hidden="false" customHeight="false" outlineLevel="0" collapsed="false">
      <c r="B34" s="21" t="s">
        <v>78</v>
      </c>
      <c r="C34" s="33" t="n">
        <v>7</v>
      </c>
    </row>
    <row r="36" customFormat="false" ht="15.75" hidden="false" customHeight="true" outlineLevel="0" collapsed="false">
      <c r="B36" s="25" t="s">
        <v>79</v>
      </c>
      <c r="C36" s="1"/>
      <c r="D36" s="1"/>
      <c r="E36" s="1"/>
      <c r="F36" s="1"/>
    </row>
    <row r="37" customFormat="false" ht="15" hidden="false" customHeight="false" outlineLevel="0" collapsed="false">
      <c r="B37" s="21" t="s">
        <v>80</v>
      </c>
      <c r="C37" s="31" t="n">
        <v>0.12</v>
      </c>
    </row>
    <row r="38" customFormat="false" ht="15" hidden="false" customHeight="false" outlineLevel="0" collapsed="false">
      <c r="B38" s="21" t="s">
        <v>81</v>
      </c>
      <c r="C38" s="31" t="n">
        <v>0.014</v>
      </c>
      <c r="F38" s="30" t="s">
        <v>82</v>
      </c>
    </row>
    <row r="39" customFormat="false" ht="15" hidden="false" customHeight="false" outlineLevel="0" collapsed="false">
      <c r="B39" s="21" t="s">
        <v>83</v>
      </c>
      <c r="C39" s="31" t="n">
        <v>0.026</v>
      </c>
    </row>
    <row r="40" customFormat="false" ht="22.35" hidden="false" customHeight="false" outlineLevel="0" collapsed="false">
      <c r="B40" s="21" t="s">
        <v>84</v>
      </c>
      <c r="C40" s="32" t="n">
        <v>9</v>
      </c>
      <c r="F40" s="30" t="s">
        <v>85</v>
      </c>
    </row>
    <row r="41" customFormat="false" ht="15" hidden="false" customHeight="false" outlineLevel="0" collapsed="false">
      <c r="B41" s="21" t="s">
        <v>86</v>
      </c>
      <c r="C41" s="31" t="n">
        <v>0.2</v>
      </c>
      <c r="F41" s="30" t="s">
        <v>87</v>
      </c>
    </row>
    <row r="43" customFormat="false" ht="25.5" hidden="false" customHeight="true" outlineLevel="0" collapsed="false">
      <c r="B43" s="20" t="s">
        <v>88</v>
      </c>
      <c r="C43" s="20"/>
      <c r="D43" s="20"/>
      <c r="E43" s="20"/>
      <c r="F43" s="20"/>
    </row>
  </sheetData>
  <mergeCells count="1">
    <mergeCell ref="B43:F43"/>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&amp;L&amp;"Arial,Bold"&amp;8Cognizant Technology Solutions — Leveraged Buyout — Debt Schedule and Returns&amp;R&amp;"Arial,Regular"&amp;8Inputs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4"/>
    <col collapsed="false" customWidth="true" hidden="false" outlineLevel="0" max="5" min="3" style="0" width="14"/>
    <col collapsed="false" customWidth="true" hidden="false" outlineLevel="0" max="6" min="6" style="0" width="56"/>
  </cols>
  <sheetData>
    <row r="1" customFormat="false" ht="30" hidden="false" customHeight="true" outlineLevel="0" collapsed="false">
      <c r="A1" s="1"/>
      <c r="B1" s="22" t="s">
        <v>40</v>
      </c>
      <c r="C1" s="1"/>
      <c r="D1" s="1"/>
      <c r="E1" s="1"/>
      <c r="F1" s="23" t="s">
        <v>41</v>
      </c>
    </row>
    <row r="2" customFormat="false" ht="18" hidden="false" customHeight="true" outlineLevel="0" collapsed="false">
      <c r="A2" s="1"/>
      <c r="B2" s="24" t="s">
        <v>89</v>
      </c>
      <c r="C2" s="1"/>
      <c r="D2" s="1"/>
      <c r="E2" s="1"/>
      <c r="F2" s="1"/>
    </row>
    <row r="4" customFormat="false" ht="15.75" hidden="false" customHeight="true" outlineLevel="0" collapsed="false">
      <c r="B4" s="25" t="s">
        <v>90</v>
      </c>
      <c r="C4" s="1"/>
      <c r="D4" s="1"/>
      <c r="E4" s="1"/>
      <c r="F4" s="1"/>
    </row>
    <row r="5" customFormat="false" ht="15" hidden="false" customHeight="false" outlineLevel="0" collapsed="false">
      <c r="B5" s="34" t="s">
        <v>21</v>
      </c>
      <c r="C5" s="35" t="n">
        <f aca="false">Inputs!$C$13*(1+Inputs!$C$20)</f>
        <v>81.3605</v>
      </c>
    </row>
    <row r="6" customFormat="false" ht="15" hidden="false" customHeight="false" outlineLevel="0" collapsed="false">
      <c r="B6" s="34" t="s">
        <v>91</v>
      </c>
      <c r="C6" s="28" t="n">
        <f aca="false">'Sources &amp; Uses'!$C$5*Inputs!$C$12</f>
        <v>39703.924</v>
      </c>
    </row>
    <row r="7" customFormat="false" ht="15" hidden="false" customHeight="false" outlineLevel="0" collapsed="false">
      <c r="B7" s="34" t="s">
        <v>92</v>
      </c>
      <c r="C7" s="28" t="n">
        <f aca="false">'Sources &amp; Uses'!$C$6+Inputs!$C$10-Inputs!$C$11</f>
        <v>38954.924</v>
      </c>
    </row>
    <row r="8" customFormat="false" ht="22.35" hidden="false" customHeight="false" outlineLevel="0" collapsed="false">
      <c r="B8" s="34" t="s">
        <v>22</v>
      </c>
      <c r="C8" s="29" t="n">
        <f aca="false">'Sources &amp; Uses'!$C$7/Inputs!$C$6</f>
        <v>9.58065027053615</v>
      </c>
      <c r="F8" s="30" t="s">
        <v>93</v>
      </c>
    </row>
    <row r="10" customFormat="false" ht="15.75" hidden="false" customHeight="true" outlineLevel="0" collapsed="false">
      <c r="B10" s="25" t="s">
        <v>94</v>
      </c>
      <c r="C10" s="1"/>
      <c r="D10" s="1"/>
      <c r="E10" s="1"/>
      <c r="F10" s="1"/>
    </row>
    <row r="11" customFormat="false" ht="15" hidden="false" customHeight="false" outlineLevel="0" collapsed="false">
      <c r="B11" s="21" t="s">
        <v>95</v>
      </c>
      <c r="C11" s="36" t="n">
        <f aca="false">'Sources &amp; Uses'!$C$6</f>
        <v>39703.924</v>
      </c>
    </row>
    <row r="12" customFormat="false" ht="15" hidden="false" customHeight="false" outlineLevel="0" collapsed="false">
      <c r="B12" s="21" t="s">
        <v>96</v>
      </c>
      <c r="C12" s="36" t="n">
        <f aca="false">Inputs!$C$10</f>
        <v>1152</v>
      </c>
    </row>
    <row r="13" customFormat="false" ht="15" hidden="false" customHeight="false" outlineLevel="0" collapsed="false">
      <c r="B13" s="21" t="s">
        <v>97</v>
      </c>
      <c r="C13" s="28" t="n">
        <f aca="false">Inputs!$C$6*Inputs!$C$27</f>
        <v>12198</v>
      </c>
    </row>
    <row r="14" customFormat="false" ht="15" hidden="false" customHeight="false" outlineLevel="0" collapsed="false">
      <c r="B14" s="21" t="s">
        <v>98</v>
      </c>
      <c r="C14" s="28" t="n">
        <f aca="false">Inputs!$C$6*Inputs!$C$28</f>
        <v>9148.5</v>
      </c>
    </row>
    <row r="15" customFormat="false" ht="15" hidden="false" customHeight="false" outlineLevel="0" collapsed="false">
      <c r="B15" s="34" t="s">
        <v>99</v>
      </c>
      <c r="C15" s="28" t="n">
        <f aca="false">'Sources &amp; Uses'!$C$13+'Sources &amp; Uses'!$C$14</f>
        <v>21346.5</v>
      </c>
    </row>
    <row r="16" customFormat="false" ht="15" hidden="false" customHeight="false" outlineLevel="0" collapsed="false">
      <c r="B16" s="21" t="s">
        <v>100</v>
      </c>
      <c r="C16" s="28" t="n">
        <f aca="false">'Sources &amp; Uses'!$C$15*Inputs!$C$22</f>
        <v>426.93</v>
      </c>
    </row>
    <row r="17" customFormat="false" ht="15" hidden="false" customHeight="false" outlineLevel="0" collapsed="false">
      <c r="B17" s="21" t="s">
        <v>101</v>
      </c>
      <c r="C17" s="28" t="n">
        <f aca="false">'Sources &amp; Uses'!$C$7*Inputs!$C$23</f>
        <v>389.54924</v>
      </c>
    </row>
    <row r="18" customFormat="false" ht="15" hidden="false" customHeight="false" outlineLevel="0" collapsed="false">
      <c r="B18" s="34" t="s">
        <v>102</v>
      </c>
      <c r="C18" s="37" t="n">
        <f aca="false">'Sources &amp; Uses'!$C$11+'Sources &amp; Uses'!$C$12+'Sources &amp; Uses'!$C$16+'Sources &amp; Uses'!$C$17</f>
        <v>41672.40324</v>
      </c>
    </row>
    <row r="20" customFormat="false" ht="15.75" hidden="false" customHeight="true" outlineLevel="0" collapsed="false">
      <c r="B20" s="25" t="s">
        <v>103</v>
      </c>
      <c r="C20" s="1"/>
      <c r="D20" s="1"/>
      <c r="E20" s="1"/>
      <c r="F20" s="1"/>
    </row>
    <row r="21" customFormat="false" ht="15" hidden="false" customHeight="false" outlineLevel="0" collapsed="false">
      <c r="B21" s="21" t="s">
        <v>104</v>
      </c>
      <c r="C21" s="36" t="n">
        <f aca="false">'Sources &amp; Uses'!$C$13</f>
        <v>12198</v>
      </c>
    </row>
    <row r="22" customFormat="false" ht="15" hidden="false" customHeight="false" outlineLevel="0" collapsed="false">
      <c r="B22" s="21" t="s">
        <v>105</v>
      </c>
      <c r="C22" s="36" t="n">
        <f aca="false">'Sources &amp; Uses'!$C$14</f>
        <v>9148.5</v>
      </c>
    </row>
    <row r="23" customFormat="false" ht="22.35" hidden="false" customHeight="false" outlineLevel="0" collapsed="false">
      <c r="B23" s="21" t="s">
        <v>106</v>
      </c>
      <c r="C23" s="28" t="n">
        <f aca="false">MAX(0,Inputs!$C$11-Inputs!$C$21)</f>
        <v>1401</v>
      </c>
      <c r="F23" s="30" t="s">
        <v>107</v>
      </c>
    </row>
    <row r="24" customFormat="false" ht="22.35" hidden="false" customHeight="false" outlineLevel="0" collapsed="false">
      <c r="B24" s="34" t="s">
        <v>108</v>
      </c>
      <c r="C24" s="28" t="n">
        <f aca="false">'Sources &amp; Uses'!$C$18-'Sources &amp; Uses'!$C$21-'Sources &amp; Uses'!$C$22-'Sources &amp; Uses'!$C$23</f>
        <v>18924.90324</v>
      </c>
      <c r="F24" s="30" t="s">
        <v>109</v>
      </c>
    </row>
    <row r="25" customFormat="false" ht="15" hidden="false" customHeight="false" outlineLevel="0" collapsed="false">
      <c r="B25" s="34" t="s">
        <v>110</v>
      </c>
      <c r="C25" s="37" t="n">
        <f aca="false">'Sources &amp; Uses'!$C$21+'Sources &amp; Uses'!$C$22+'Sources &amp; Uses'!$C$23+'Sources &amp; Uses'!$C$24</f>
        <v>41672.40324</v>
      </c>
    </row>
    <row r="27" customFormat="false" ht="15" hidden="false" customHeight="false" outlineLevel="0" collapsed="false">
      <c r="B27" s="34" t="s">
        <v>111</v>
      </c>
      <c r="C27" s="29" t="n">
        <f aca="false">'Sources &amp; Uses'!$C$15/Inputs!$C$6</f>
        <v>5.25</v>
      </c>
    </row>
    <row r="28" customFormat="false" ht="15" hidden="false" customHeight="false" outlineLevel="0" collapsed="false">
      <c r="B28" s="21" t="s">
        <v>112</v>
      </c>
      <c r="C28" s="38" t="n">
        <f aca="false">'Sources &amp; Uses'!$C$24/'Sources &amp; Uses'!$C$18</f>
        <v>0.454135153449336</v>
      </c>
    </row>
    <row r="29" customFormat="false" ht="27.75" hidden="false" customHeight="true" outlineLevel="0" collapsed="false">
      <c r="B29" s="20" t="s">
        <v>113</v>
      </c>
      <c r="C29" s="20"/>
      <c r="D29" s="20"/>
      <c r="E29" s="20"/>
      <c r="F29" s="20"/>
    </row>
  </sheetData>
  <mergeCells count="1">
    <mergeCell ref="B29:F29"/>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&amp;L&amp;"Arial,Bold"&amp;8Cognizant Technology Solutions — Leveraged Buyout — Debt Schedule and Returns&amp;R&amp;"Arial,Regular"&amp;8Sources Uses</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9" min="3" style="0" width="13.5"/>
  </cols>
  <sheetData>
    <row r="1" customFormat="false" ht="30" hidden="false" customHeight="true" outlineLevel="0" collapsed="false">
      <c r="A1" s="1"/>
      <c r="B1" s="22" t="s">
        <v>40</v>
      </c>
      <c r="C1" s="1"/>
      <c r="D1" s="1"/>
      <c r="E1" s="1"/>
      <c r="F1" s="1"/>
      <c r="G1" s="1"/>
      <c r="H1" s="1"/>
      <c r="I1" s="23" t="s">
        <v>41</v>
      </c>
    </row>
    <row r="2" customFormat="false" ht="18" hidden="false" customHeight="true" outlineLevel="0" collapsed="false">
      <c r="A2" s="1"/>
      <c r="B2" s="24" t="s">
        <v>114</v>
      </c>
      <c r="C2" s="1"/>
      <c r="D2" s="1"/>
      <c r="E2" s="1"/>
      <c r="F2" s="1"/>
      <c r="G2" s="1"/>
      <c r="H2" s="1"/>
      <c r="I2" s="1"/>
    </row>
    <row r="4" customFormat="false" ht="15.75" hidden="false" customHeight="true" outlineLevel="0" collapsed="false">
      <c r="B4" s="25" t="s">
        <v>115</v>
      </c>
      <c r="C4" s="1"/>
      <c r="D4" s="1"/>
      <c r="E4" s="1"/>
      <c r="F4" s="1"/>
      <c r="G4" s="1"/>
      <c r="H4" s="1"/>
      <c r="I4" s="1"/>
    </row>
    <row r="5" customFormat="false" ht="18" hidden="false" customHeight="true" outlineLevel="0" collapsed="false">
      <c r="B5" s="34"/>
      <c r="C5" s="39" t="s">
        <v>116</v>
      </c>
      <c r="D5" s="39" t="s">
        <v>117</v>
      </c>
      <c r="E5" s="39" t="s">
        <v>118</v>
      </c>
      <c r="F5" s="39" t="s">
        <v>119</v>
      </c>
      <c r="G5" s="39" t="s">
        <v>120</v>
      </c>
      <c r="H5" s="39" t="s">
        <v>121</v>
      </c>
    </row>
    <row r="6" customFormat="false" ht="15" hidden="false" customHeight="false" outlineLevel="0" collapsed="false">
      <c r="B6" s="34" t="s">
        <v>44</v>
      </c>
      <c r="C6" s="28" t="n">
        <f aca="false">Inputs!$C$5</f>
        <v>21108</v>
      </c>
      <c r="D6" s="28" t="n">
        <f aca="false">C6*(1+D7)</f>
        <v>21741.24</v>
      </c>
      <c r="E6" s="28" t="n">
        <f aca="false">D6*(1+E7)</f>
        <v>22502.1834</v>
      </c>
      <c r="F6" s="28" t="n">
        <f aca="false">E6*(1+F7)</f>
        <v>23402.270736</v>
      </c>
      <c r="G6" s="28" t="n">
        <f aca="false">F6*(1+G7)</f>
        <v>24338.36156544</v>
      </c>
      <c r="H6" s="28" t="n">
        <f aca="false">G6*(1+H7)</f>
        <v>25311.8960280576</v>
      </c>
    </row>
    <row r="7" customFormat="false" ht="15" hidden="false" customHeight="false" outlineLevel="0" collapsed="false">
      <c r="B7" s="21" t="s">
        <v>122</v>
      </c>
      <c r="C7" s="31"/>
      <c r="D7" s="31" t="n">
        <v>0.03</v>
      </c>
      <c r="E7" s="31" t="n">
        <v>0.035</v>
      </c>
      <c r="F7" s="31" t="n">
        <v>0.04</v>
      </c>
      <c r="G7" s="31" t="n">
        <v>0.04</v>
      </c>
      <c r="H7" s="31" t="n">
        <v>0.04</v>
      </c>
    </row>
    <row r="8" customFormat="false" ht="15" hidden="false" customHeight="false" outlineLevel="0" collapsed="false">
      <c r="B8" s="21" t="s">
        <v>123</v>
      </c>
      <c r="C8" s="38" t="n">
        <f aca="false">Inputs!$C$6/Inputs!$C$5</f>
        <v>0.192628387341292</v>
      </c>
      <c r="D8" s="31" t="n">
        <v>0.196</v>
      </c>
      <c r="E8" s="31" t="n">
        <v>0.2</v>
      </c>
      <c r="F8" s="31" t="n">
        <v>0.204</v>
      </c>
      <c r="G8" s="31" t="n">
        <v>0.207</v>
      </c>
      <c r="H8" s="31" t="n">
        <v>0.21</v>
      </c>
    </row>
    <row r="9" customFormat="false" ht="15" hidden="false" customHeight="false" outlineLevel="0" collapsed="false">
      <c r="B9" s="34" t="s">
        <v>45</v>
      </c>
      <c r="C9" s="28" t="n">
        <f aca="false">Inputs!$C$6</f>
        <v>4066</v>
      </c>
      <c r="D9" s="28" t="n">
        <f aca="false">D6*D8</f>
        <v>4261.28304</v>
      </c>
      <c r="E9" s="28" t="n">
        <f aca="false">E6*E8</f>
        <v>4500.43668</v>
      </c>
      <c r="F9" s="28" t="n">
        <f aca="false">F6*F8</f>
        <v>4774.063230144</v>
      </c>
      <c r="G9" s="28" t="n">
        <f aca="false">G6*G8</f>
        <v>5038.04084404608</v>
      </c>
      <c r="H9" s="28" t="n">
        <f aca="false">H6*H8</f>
        <v>5315.4981658921</v>
      </c>
    </row>
    <row r="10" customFormat="false" ht="15" hidden="false" customHeight="false" outlineLevel="0" collapsed="false">
      <c r="B10" s="21" t="s">
        <v>47</v>
      </c>
      <c r="C10" s="28" t="n">
        <f aca="false">Inputs!$C$8</f>
        <v>550</v>
      </c>
      <c r="D10" s="28" t="n">
        <f aca="false">D6*Inputs!$C$39</f>
        <v>565.27224</v>
      </c>
      <c r="E10" s="28" t="n">
        <f aca="false">E6*Inputs!$C$39</f>
        <v>585.0567684</v>
      </c>
      <c r="F10" s="28" t="n">
        <f aca="false">F6*Inputs!$C$39</f>
        <v>608.459039136</v>
      </c>
      <c r="G10" s="28" t="n">
        <f aca="false">G6*Inputs!$C$39</f>
        <v>632.79740070144</v>
      </c>
      <c r="H10" s="28" t="n">
        <f aca="false">H6*Inputs!$C$39</f>
        <v>658.109296729498</v>
      </c>
    </row>
    <row r="11" customFormat="false" ht="15" hidden="false" customHeight="false" outlineLevel="0" collapsed="false">
      <c r="B11" s="21" t="s">
        <v>48</v>
      </c>
      <c r="C11" s="28" t="n">
        <f aca="false">Inputs!$C$9</f>
        <v>288</v>
      </c>
      <c r="D11" s="28" t="n">
        <f aca="false">D6*Inputs!$C$38</f>
        <v>304.37736</v>
      </c>
      <c r="E11" s="28" t="n">
        <f aca="false">E6*Inputs!$C$38</f>
        <v>315.0305676</v>
      </c>
      <c r="F11" s="28" t="n">
        <f aca="false">F6*Inputs!$C$38</f>
        <v>327.631790304</v>
      </c>
      <c r="G11" s="28" t="n">
        <f aca="false">G6*Inputs!$C$38</f>
        <v>340.73706191616</v>
      </c>
      <c r="H11" s="28" t="n">
        <f aca="false">H6*Inputs!$C$38</f>
        <v>354.366544392807</v>
      </c>
    </row>
    <row r="12" customFormat="false" ht="15" hidden="false" customHeight="false" outlineLevel="0" collapsed="false">
      <c r="B12" s="21" t="s">
        <v>124</v>
      </c>
      <c r="C12" s="26"/>
      <c r="D12" s="28" t="n">
        <f aca="false">(D6-C6)*Inputs!$C$37</f>
        <v>75.9888000000002</v>
      </c>
      <c r="E12" s="28" t="n">
        <f aca="false">(E6-D6)*Inputs!$C$37</f>
        <v>91.313208</v>
      </c>
      <c r="F12" s="28" t="n">
        <f aca="false">(F6-E6)*Inputs!$C$37</f>
        <v>108.01048032</v>
      </c>
      <c r="G12" s="28" t="n">
        <f aca="false">(G6-F6)*Inputs!$C$37</f>
        <v>112.3308995328</v>
      </c>
      <c r="H12" s="28" t="n">
        <f aca="false">(H6-G6)*Inputs!$C$37</f>
        <v>116.824135514112</v>
      </c>
    </row>
    <row r="14" customFormat="false" ht="15.75" hidden="false" customHeight="true" outlineLevel="0" collapsed="false">
      <c r="B14" s="25" t="s">
        <v>125</v>
      </c>
      <c r="C14" s="1"/>
      <c r="D14" s="1"/>
      <c r="E14" s="1"/>
      <c r="F14" s="1"/>
      <c r="G14" s="1"/>
      <c r="H14" s="1"/>
      <c r="I14" s="1"/>
    </row>
    <row r="15" customFormat="false" ht="15" hidden="false" customHeight="false" outlineLevel="0" collapsed="false">
      <c r="B15" s="21" t="s">
        <v>45</v>
      </c>
      <c r="C15" s="36"/>
      <c r="D15" s="36" t="n">
        <f aca="false">D9</f>
        <v>4261.28304</v>
      </c>
      <c r="E15" s="36" t="n">
        <f aca="false">E9</f>
        <v>4500.43668</v>
      </c>
      <c r="F15" s="36" t="n">
        <f aca="false">F9</f>
        <v>4774.063230144</v>
      </c>
      <c r="G15" s="36" t="n">
        <f aca="false">G9</f>
        <v>5038.04084404608</v>
      </c>
      <c r="H15" s="36" t="n">
        <f aca="false">H9</f>
        <v>5315.4981658921</v>
      </c>
    </row>
    <row r="16" customFormat="false" ht="15" hidden="false" customHeight="false" outlineLevel="0" collapsed="false">
      <c r="B16" s="21" t="s">
        <v>126</v>
      </c>
      <c r="C16" s="26"/>
      <c r="D16" s="28" t="n">
        <f aca="false">-D11</f>
        <v>-304.37736</v>
      </c>
      <c r="E16" s="28" t="n">
        <f aca="false">-E11</f>
        <v>-315.0305676</v>
      </c>
      <c r="F16" s="28" t="n">
        <f aca="false">-F11</f>
        <v>-327.631790304</v>
      </c>
      <c r="G16" s="28" t="n">
        <f aca="false">-G11</f>
        <v>-340.73706191616</v>
      </c>
      <c r="H16" s="28" t="n">
        <f aca="false">-H11</f>
        <v>-354.366544392807</v>
      </c>
    </row>
    <row r="17" customFormat="false" ht="15" hidden="false" customHeight="false" outlineLevel="0" collapsed="false">
      <c r="B17" s="21" t="s">
        <v>127</v>
      </c>
      <c r="C17" s="26"/>
      <c r="D17" s="28" t="n">
        <f aca="false">-D12</f>
        <v>-75.9888000000002</v>
      </c>
      <c r="E17" s="28" t="n">
        <f aca="false">-E12</f>
        <v>-91.313208</v>
      </c>
      <c r="F17" s="28" t="n">
        <f aca="false">-F12</f>
        <v>-108.01048032</v>
      </c>
      <c r="G17" s="28" t="n">
        <f aca="false">-G12</f>
        <v>-112.3308995328</v>
      </c>
      <c r="H17" s="28" t="n">
        <f aca="false">-H12</f>
        <v>-116.824135514112</v>
      </c>
    </row>
    <row r="18" customFormat="false" ht="25.5" hidden="false" customHeight="true" outlineLevel="0" collapsed="false">
      <c r="B18" s="20" t="s">
        <v>128</v>
      </c>
      <c r="C18" s="20"/>
      <c r="D18" s="20"/>
      <c r="E18" s="20"/>
      <c r="F18" s="20"/>
      <c r="G18" s="20"/>
      <c r="H18" s="20"/>
      <c r="I18" s="20"/>
    </row>
  </sheetData>
  <mergeCells count="1">
    <mergeCell ref="B18:I18"/>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&amp;L&amp;"Arial,Bold"&amp;8Cognizant Technology Solutions — Leveraged Buyout — Debt Schedule and Returns&amp;R&amp;"Arial,Regular"&amp;8Model</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9" min="3" style="0" width="13.5"/>
  </cols>
  <sheetData>
    <row r="1" customFormat="false" ht="30" hidden="false" customHeight="true" outlineLevel="0" collapsed="false">
      <c r="A1" s="1"/>
      <c r="B1" s="22" t="s">
        <v>40</v>
      </c>
      <c r="C1" s="1"/>
      <c r="D1" s="1"/>
      <c r="E1" s="1"/>
      <c r="F1" s="1"/>
      <c r="G1" s="1"/>
      <c r="H1" s="1"/>
      <c r="I1" s="23" t="s">
        <v>41</v>
      </c>
    </row>
    <row r="2" customFormat="false" ht="18" hidden="false" customHeight="true" outlineLevel="0" collapsed="false">
      <c r="A2" s="1"/>
      <c r="B2" s="24" t="s">
        <v>129</v>
      </c>
      <c r="C2" s="1"/>
      <c r="D2" s="1"/>
      <c r="E2" s="1"/>
      <c r="F2" s="1"/>
      <c r="G2" s="1"/>
      <c r="H2" s="1"/>
      <c r="I2" s="1"/>
    </row>
    <row r="4" customFormat="false" ht="15.75" hidden="false" customHeight="true" outlineLevel="0" collapsed="false">
      <c r="B4" s="25" t="s">
        <v>130</v>
      </c>
      <c r="C4" s="1"/>
      <c r="D4" s="1"/>
      <c r="E4" s="1"/>
      <c r="F4" s="1"/>
      <c r="G4" s="1"/>
      <c r="H4" s="1"/>
      <c r="I4" s="1"/>
    </row>
    <row r="5" customFormat="false" ht="18" hidden="false" customHeight="true" outlineLevel="0" collapsed="false">
      <c r="B5" s="34"/>
      <c r="C5" s="39" t="s">
        <v>131</v>
      </c>
      <c r="D5" s="39" t="s">
        <v>117</v>
      </c>
      <c r="E5" s="39" t="s">
        <v>118</v>
      </c>
      <c r="F5" s="39" t="s">
        <v>119</v>
      </c>
      <c r="G5" s="39" t="s">
        <v>120</v>
      </c>
      <c r="H5" s="39" t="s">
        <v>121</v>
      </c>
    </row>
    <row r="6" customFormat="false" ht="15" hidden="false" customHeight="false" outlineLevel="0" collapsed="false">
      <c r="B6" s="21" t="s">
        <v>132</v>
      </c>
      <c r="C6" s="28" t="n">
        <f aca="false">'Sources &amp; Uses'!$C$13</f>
        <v>12198</v>
      </c>
      <c r="D6" s="28" t="n">
        <f aca="false">C9</f>
        <v>12198</v>
      </c>
      <c r="E6" s="28" t="n">
        <f aca="false">D9</f>
        <v>10490.618445</v>
      </c>
      <c r="F6" s="28" t="n">
        <f aca="false">E9</f>
        <v>8529.50319911438</v>
      </c>
      <c r="G6" s="28" t="n">
        <f aca="false">F9</f>
        <v>6277.03865359689</v>
      </c>
      <c r="H6" s="28" t="n">
        <f aca="false">G9</f>
        <v>3712.07554160566</v>
      </c>
    </row>
    <row r="7" customFormat="false" ht="15" hidden="false" customHeight="false" outlineLevel="0" collapsed="false">
      <c r="B7" s="21" t="s">
        <v>133</v>
      </c>
      <c r="C7" s="26"/>
      <c r="D7" s="28" t="n">
        <f aca="false">-MIN(D6,'Sources &amp; Uses'!$C$13*Inputs!$C$32)</f>
        <v>-121.98</v>
      </c>
      <c r="E7" s="28" t="n">
        <f aca="false">-MIN(E6,'Sources &amp; Uses'!$C$13*Inputs!$C$32)</f>
        <v>-121.98</v>
      </c>
      <c r="F7" s="28" t="n">
        <f aca="false">-MIN(F6,'Sources &amp; Uses'!$C$13*Inputs!$C$32)</f>
        <v>-121.98</v>
      </c>
      <c r="G7" s="28" t="n">
        <f aca="false">-MIN(G6,'Sources &amp; Uses'!$C$13*Inputs!$C$32)</f>
        <v>-121.98</v>
      </c>
      <c r="H7" s="28" t="n">
        <f aca="false">-MIN(H6,'Sources &amp; Uses'!$C$13*Inputs!$C$32)</f>
        <v>-121.98</v>
      </c>
    </row>
    <row r="8" customFormat="false" ht="15" hidden="false" customHeight="false" outlineLevel="0" collapsed="false">
      <c r="B8" s="21" t="s">
        <v>134</v>
      </c>
      <c r="C8" s="26"/>
      <c r="D8" s="28" t="n">
        <f aca="false">-MIN(MAX(0,D29)*Inputs!$C$33,D6+D7)</f>
        <v>-1585.401555</v>
      </c>
      <c r="E8" s="28" t="n">
        <f aca="false">-MIN(MAX(0,E29)*Inputs!$C$33,E6+E7)</f>
        <v>-1839.13524588563</v>
      </c>
      <c r="F8" s="28" t="n">
        <f aca="false">-MIN(MAX(0,F29)*Inputs!$C$33,F6+F7)</f>
        <v>-2130.48454551748</v>
      </c>
      <c r="G8" s="28" t="n">
        <f aca="false">-MIN(MAX(0,G29)*Inputs!$C$33,G6+G7)</f>
        <v>-2442.98311199123</v>
      </c>
      <c r="H8" s="28" t="n">
        <f aca="false">-MIN(MAX(0,H29)*Inputs!$C$33,H6+H7)</f>
        <v>-2782.59867280731</v>
      </c>
    </row>
    <row r="9" customFormat="false" ht="15" hidden="false" customHeight="false" outlineLevel="0" collapsed="false">
      <c r="B9" s="34" t="s">
        <v>135</v>
      </c>
      <c r="C9" s="40" t="n">
        <f aca="false">'Sources &amp; Uses'!$C$13</f>
        <v>12198</v>
      </c>
      <c r="D9" s="40" t="n">
        <f aca="false">D6+D7+D8</f>
        <v>10490.618445</v>
      </c>
      <c r="E9" s="40" t="n">
        <f aca="false">E6+E7+E8</f>
        <v>8529.50319911438</v>
      </c>
      <c r="F9" s="40" t="n">
        <f aca="false">F6+F7+F8</f>
        <v>6277.03865359689</v>
      </c>
      <c r="G9" s="40" t="n">
        <f aca="false">G6+G7+G8</f>
        <v>3712.07554160566</v>
      </c>
      <c r="H9" s="40" t="n">
        <f aca="false">H6+H7+H8</f>
        <v>807.496868798347</v>
      </c>
    </row>
    <row r="11" customFormat="false" ht="15" hidden="false" customHeight="false" outlineLevel="0" collapsed="false">
      <c r="B11" s="21" t="s">
        <v>136</v>
      </c>
      <c r="C11" s="36" t="n">
        <f aca="false">'Sources &amp; Uses'!$C$14</f>
        <v>9148.5</v>
      </c>
      <c r="D11" s="36" t="n">
        <f aca="false">'Sources &amp; Uses'!$C$14</f>
        <v>9148.5</v>
      </c>
      <c r="E11" s="36" t="n">
        <f aca="false">'Sources &amp; Uses'!$C$14</f>
        <v>9148.5</v>
      </c>
      <c r="F11" s="36" t="n">
        <f aca="false">'Sources &amp; Uses'!$C$14</f>
        <v>9148.5</v>
      </c>
      <c r="G11" s="36" t="n">
        <f aca="false">'Sources &amp; Uses'!$C$14</f>
        <v>9148.5</v>
      </c>
      <c r="H11" s="36" t="n">
        <f aca="false">'Sources &amp; Uses'!$C$14</f>
        <v>9148.5</v>
      </c>
    </row>
    <row r="12" customFormat="false" ht="15" hidden="false" customHeight="false" outlineLevel="0" collapsed="false">
      <c r="B12" s="34" t="s">
        <v>49</v>
      </c>
      <c r="C12" s="28" t="n">
        <f aca="false">C9+C11</f>
        <v>21346.5</v>
      </c>
      <c r="D12" s="28" t="n">
        <f aca="false">D9+D11</f>
        <v>19639.118445</v>
      </c>
      <c r="E12" s="28" t="n">
        <f aca="false">E9+E11</f>
        <v>17678.0031991144</v>
      </c>
      <c r="F12" s="28" t="n">
        <f aca="false">F9+F11</f>
        <v>15425.5386535969</v>
      </c>
      <c r="G12" s="28" t="n">
        <f aca="false">G9+G11</f>
        <v>12860.5755416057</v>
      </c>
      <c r="H12" s="28" t="n">
        <f aca="false">H9+H11</f>
        <v>9955.99686879835</v>
      </c>
    </row>
    <row r="14" customFormat="false" ht="15" hidden="false" customHeight="false" outlineLevel="0" collapsed="false">
      <c r="B14" s="21" t="s">
        <v>137</v>
      </c>
      <c r="C14" s="26"/>
      <c r="D14" s="28" t="n">
        <f aca="false">D6*(Inputs!$C$29+Inputs!$C$30)</f>
        <v>908.751</v>
      </c>
      <c r="E14" s="28" t="n">
        <f aca="false">E6*(Inputs!$C$29+Inputs!$C$30)</f>
        <v>781.5510741525</v>
      </c>
      <c r="F14" s="28" t="n">
        <f aca="false">F6*(Inputs!$C$29+Inputs!$C$30)</f>
        <v>635.447988334021</v>
      </c>
      <c r="G14" s="28" t="n">
        <f aca="false">G6*(Inputs!$C$29+Inputs!$C$30)</f>
        <v>467.639379692969</v>
      </c>
      <c r="H14" s="28" t="n">
        <f aca="false">H6*(Inputs!$C$29+Inputs!$C$30)</f>
        <v>276.549627849622</v>
      </c>
    </row>
    <row r="15" customFormat="false" ht="15" hidden="false" customHeight="false" outlineLevel="0" collapsed="false">
      <c r="B15" s="21" t="s">
        <v>138</v>
      </c>
      <c r="C15" s="26"/>
      <c r="D15" s="28" t="n">
        <f aca="false">'Sources &amp; Uses'!$C$14*Inputs!$C$31</f>
        <v>777.6225</v>
      </c>
      <c r="E15" s="28" t="n">
        <f aca="false">'Sources &amp; Uses'!$C$14*Inputs!$C$31</f>
        <v>777.6225</v>
      </c>
      <c r="F15" s="28" t="n">
        <f aca="false">'Sources &amp; Uses'!$C$14*Inputs!$C$31</f>
        <v>777.6225</v>
      </c>
      <c r="G15" s="28" t="n">
        <f aca="false">'Sources &amp; Uses'!$C$14*Inputs!$C$31</f>
        <v>777.6225</v>
      </c>
      <c r="H15" s="28" t="n">
        <f aca="false">'Sources &amp; Uses'!$C$14*Inputs!$C$31</f>
        <v>777.6225</v>
      </c>
    </row>
    <row r="16" customFormat="false" ht="15" hidden="false" customHeight="false" outlineLevel="0" collapsed="false">
      <c r="B16" s="21" t="s">
        <v>139</v>
      </c>
      <c r="C16" s="26"/>
      <c r="D16" s="28" t="n">
        <f aca="false">'Sources &amp; Uses'!$C$16/Inputs!$C$34</f>
        <v>60.99</v>
      </c>
      <c r="E16" s="28" t="n">
        <f aca="false">'Sources &amp; Uses'!$C$16/Inputs!$C$34</f>
        <v>60.99</v>
      </c>
      <c r="F16" s="28" t="n">
        <f aca="false">'Sources &amp; Uses'!$C$16/Inputs!$C$34</f>
        <v>60.99</v>
      </c>
      <c r="G16" s="28" t="n">
        <f aca="false">'Sources &amp; Uses'!$C$16/Inputs!$C$34</f>
        <v>60.99</v>
      </c>
      <c r="H16" s="28" t="n">
        <f aca="false">'Sources &amp; Uses'!$C$16/Inputs!$C$34</f>
        <v>60.99</v>
      </c>
    </row>
    <row r="17" customFormat="false" ht="15" hidden="false" customHeight="false" outlineLevel="0" collapsed="false">
      <c r="B17" s="34" t="s">
        <v>140</v>
      </c>
      <c r="C17" s="41"/>
      <c r="D17" s="40" t="n">
        <f aca="false">SUM(D14:D16)</f>
        <v>1747.3635</v>
      </c>
      <c r="E17" s="40" t="n">
        <f aca="false">SUM(E14:E16)</f>
        <v>1620.1635741525</v>
      </c>
      <c r="F17" s="40" t="n">
        <f aca="false">SUM(F14:F16)</f>
        <v>1474.06048833402</v>
      </c>
      <c r="G17" s="40" t="n">
        <f aca="false">SUM(G14:G16)</f>
        <v>1306.25187969297</v>
      </c>
      <c r="H17" s="40" t="n">
        <f aca="false">SUM(H14:H16)</f>
        <v>1115.16212784962</v>
      </c>
    </row>
    <row r="19" customFormat="false" ht="15" hidden="false" customHeight="false" outlineLevel="0" collapsed="false">
      <c r="B19" s="21" t="s">
        <v>141</v>
      </c>
      <c r="C19" s="26"/>
      <c r="D19" s="28" t="n">
        <f aca="false">Model!D9-Model!D10-D17</f>
        <v>1948.6473</v>
      </c>
      <c r="E19" s="28" t="n">
        <f aca="false">Model!E9-Model!E10-E17</f>
        <v>2295.2163374475</v>
      </c>
      <c r="F19" s="28" t="n">
        <f aca="false">Model!F9-Model!F10-F17</f>
        <v>2691.54370267398</v>
      </c>
      <c r="G19" s="28" t="n">
        <f aca="false">Model!G9-Model!G10-G17</f>
        <v>3098.99156365167</v>
      </c>
      <c r="H19" s="28" t="n">
        <f aca="false">Model!H9-Model!H10-H17</f>
        <v>3542.22674131298</v>
      </c>
    </row>
    <row r="20" customFormat="false" ht="15" hidden="false" customHeight="false" outlineLevel="0" collapsed="false">
      <c r="B20" s="21" t="s">
        <v>142</v>
      </c>
      <c r="C20" s="26"/>
      <c r="D20" s="28" t="n">
        <f aca="false">-MAX(0,D19)*Inputs!$C$24</f>
        <v>-487.161825</v>
      </c>
      <c r="E20" s="28" t="n">
        <f aca="false">-MAX(0,E19)*Inputs!$C$24</f>
        <v>-573.804084361875</v>
      </c>
      <c r="F20" s="28" t="n">
        <f aca="false">-MAX(0,F19)*Inputs!$C$24</f>
        <v>-672.885925668495</v>
      </c>
      <c r="G20" s="28" t="n">
        <f aca="false">-MAX(0,G19)*Inputs!$C$24</f>
        <v>-774.747890912918</v>
      </c>
      <c r="H20" s="28" t="n">
        <f aca="false">-MAX(0,H19)*Inputs!$C$24</f>
        <v>-885.556685328244</v>
      </c>
    </row>
    <row r="22" customFormat="false" ht="15.75" hidden="false" customHeight="true" outlineLevel="0" collapsed="false">
      <c r="B22" s="25" t="s">
        <v>143</v>
      </c>
      <c r="C22" s="1"/>
      <c r="D22" s="1"/>
      <c r="E22" s="1"/>
      <c r="F22" s="1"/>
      <c r="G22" s="1"/>
      <c r="H22" s="1"/>
      <c r="I22" s="1"/>
    </row>
    <row r="23" customFormat="false" ht="15" hidden="false" customHeight="false" outlineLevel="0" collapsed="false">
      <c r="B23" s="21" t="s">
        <v>45</v>
      </c>
      <c r="C23" s="36"/>
      <c r="D23" s="36" t="n">
        <f aca="false">Model!D9</f>
        <v>4261.28304</v>
      </c>
      <c r="E23" s="36" t="n">
        <f aca="false">Model!E9</f>
        <v>4500.43668</v>
      </c>
      <c r="F23" s="36" t="n">
        <f aca="false">Model!F9</f>
        <v>4774.063230144</v>
      </c>
      <c r="G23" s="36" t="n">
        <f aca="false">Model!G9</f>
        <v>5038.04084404608</v>
      </c>
      <c r="H23" s="36" t="n">
        <f aca="false">Model!H9</f>
        <v>5315.4981658921</v>
      </c>
    </row>
    <row r="24" customFormat="false" ht="15" hidden="false" customHeight="false" outlineLevel="0" collapsed="false">
      <c r="B24" s="21" t="s">
        <v>126</v>
      </c>
      <c r="C24" s="26"/>
      <c r="D24" s="28" t="n">
        <f aca="false">-Model!D11</f>
        <v>-304.37736</v>
      </c>
      <c r="E24" s="28" t="n">
        <f aca="false">-Model!E11</f>
        <v>-315.0305676</v>
      </c>
      <c r="F24" s="28" t="n">
        <f aca="false">-Model!F11</f>
        <v>-327.631790304</v>
      </c>
      <c r="G24" s="28" t="n">
        <f aca="false">-Model!G11</f>
        <v>-340.73706191616</v>
      </c>
      <c r="H24" s="28" t="n">
        <f aca="false">-Model!H11</f>
        <v>-354.366544392807</v>
      </c>
    </row>
    <row r="25" customFormat="false" ht="15" hidden="false" customHeight="false" outlineLevel="0" collapsed="false">
      <c r="B25" s="21" t="s">
        <v>127</v>
      </c>
      <c r="C25" s="26"/>
      <c r="D25" s="28" t="n">
        <f aca="false">-Model!D12</f>
        <v>-75.9888000000002</v>
      </c>
      <c r="E25" s="28" t="n">
        <f aca="false">-Model!E12</f>
        <v>-91.313208</v>
      </c>
      <c r="F25" s="28" t="n">
        <f aca="false">-Model!F12</f>
        <v>-108.01048032</v>
      </c>
      <c r="G25" s="28" t="n">
        <f aca="false">-Model!G12</f>
        <v>-112.3308995328</v>
      </c>
      <c r="H25" s="28" t="n">
        <f aca="false">-Model!H12</f>
        <v>-116.824135514112</v>
      </c>
    </row>
    <row r="26" customFormat="false" ht="15" hidden="false" customHeight="false" outlineLevel="0" collapsed="false">
      <c r="B26" s="21" t="s">
        <v>144</v>
      </c>
      <c r="C26" s="26"/>
      <c r="D26" s="28" t="n">
        <f aca="false">-(D14+D15)</f>
        <v>-1686.3735</v>
      </c>
      <c r="E26" s="28" t="n">
        <f aca="false">-(E14+E15)</f>
        <v>-1559.1735741525</v>
      </c>
      <c r="F26" s="28" t="n">
        <f aca="false">-(F14+F15)</f>
        <v>-1413.07048833402</v>
      </c>
      <c r="G26" s="28" t="n">
        <f aca="false">-(G14+G15)</f>
        <v>-1245.26187969297</v>
      </c>
      <c r="H26" s="28" t="n">
        <f aca="false">-(H14+H15)</f>
        <v>-1054.17212784962</v>
      </c>
    </row>
    <row r="27" customFormat="false" ht="15" hidden="false" customHeight="false" outlineLevel="0" collapsed="false">
      <c r="B27" s="21" t="s">
        <v>145</v>
      </c>
      <c r="C27" s="26"/>
      <c r="D27" s="28" t="n">
        <f aca="false">D20</f>
        <v>-487.161825</v>
      </c>
      <c r="E27" s="28" t="n">
        <f aca="false">E20</f>
        <v>-573.804084361875</v>
      </c>
      <c r="F27" s="28" t="n">
        <f aca="false">F20</f>
        <v>-672.885925668495</v>
      </c>
      <c r="G27" s="28" t="n">
        <f aca="false">G20</f>
        <v>-774.747890912918</v>
      </c>
      <c r="H27" s="28" t="n">
        <f aca="false">H20</f>
        <v>-885.556685328244</v>
      </c>
    </row>
    <row r="28" customFormat="false" ht="15" hidden="false" customHeight="false" outlineLevel="0" collapsed="false">
      <c r="B28" s="21" t="s">
        <v>146</v>
      </c>
      <c r="C28" s="26"/>
      <c r="D28" s="28" t="n">
        <f aca="false">D7</f>
        <v>-121.98</v>
      </c>
      <c r="E28" s="28" t="n">
        <f aca="false">E7</f>
        <v>-121.98</v>
      </c>
      <c r="F28" s="28" t="n">
        <f aca="false">F7</f>
        <v>-121.98</v>
      </c>
      <c r="G28" s="28" t="n">
        <f aca="false">G7</f>
        <v>-121.98</v>
      </c>
      <c r="H28" s="28" t="n">
        <f aca="false">H7</f>
        <v>-121.98</v>
      </c>
    </row>
    <row r="29" customFormat="false" ht="15" hidden="false" customHeight="false" outlineLevel="0" collapsed="false">
      <c r="B29" s="34" t="s">
        <v>147</v>
      </c>
      <c r="C29" s="42"/>
      <c r="D29" s="37" t="n">
        <f aca="false">SUM(D23:D28)</f>
        <v>1585.401555</v>
      </c>
      <c r="E29" s="37" t="n">
        <f aca="false">SUM(E23:E28)</f>
        <v>1839.13524588563</v>
      </c>
      <c r="F29" s="37" t="n">
        <f aca="false">SUM(F23:F28)</f>
        <v>2130.48454551748</v>
      </c>
      <c r="G29" s="37" t="n">
        <f aca="false">SUM(G23:G28)</f>
        <v>2442.98311199123</v>
      </c>
      <c r="H29" s="37" t="n">
        <f aca="false">SUM(H23:H28)</f>
        <v>2782.59867280731</v>
      </c>
    </row>
    <row r="31" customFormat="false" ht="15.75" hidden="false" customHeight="true" outlineLevel="0" collapsed="false">
      <c r="B31" s="25" t="s">
        <v>148</v>
      </c>
      <c r="C31" s="1"/>
      <c r="D31" s="1"/>
      <c r="E31" s="1"/>
      <c r="F31" s="1"/>
      <c r="G31" s="1"/>
      <c r="H31" s="1"/>
      <c r="I31" s="1"/>
    </row>
    <row r="32" customFormat="false" ht="15" hidden="false" customHeight="false" outlineLevel="0" collapsed="false">
      <c r="B32" s="34" t="s">
        <v>149</v>
      </c>
      <c r="C32" s="29" t="n">
        <f aca="false">C12/Inputs!$C$6</f>
        <v>5.25</v>
      </c>
      <c r="D32" s="29" t="n">
        <f aca="false">D12/Model!D9</f>
        <v>4.60873362802955</v>
      </c>
      <c r="E32" s="29" t="n">
        <f aca="false">E12/Model!E9</f>
        <v>3.92806397603052</v>
      </c>
      <c r="F32" s="29" t="n">
        <f aca="false">F12/Model!F9</f>
        <v>3.23111318597504</v>
      </c>
      <c r="G32" s="29" t="n">
        <f aca="false">G12/Model!G9</f>
        <v>2.55269378310106</v>
      </c>
      <c r="H32" s="29" t="n">
        <f aca="false">H12/Model!H9</f>
        <v>1.87301294405158</v>
      </c>
    </row>
    <row r="33" customFormat="false" ht="15" hidden="false" customHeight="false" outlineLevel="0" collapsed="false">
      <c r="B33" s="34" t="s">
        <v>150</v>
      </c>
      <c r="C33" s="32"/>
      <c r="D33" s="29" t="n">
        <f aca="false">Model!D9/(D14+D15)</f>
        <v>2.52689160497363</v>
      </c>
      <c r="E33" s="29" t="n">
        <f aca="false">Model!E9/(E14+E15)</f>
        <v>2.88642442035118</v>
      </c>
      <c r="F33" s="29" t="n">
        <f aca="false">Model!F9/(F14+F15)</f>
        <v>3.37850324492483</v>
      </c>
      <c r="G33" s="29" t="n">
        <f aca="false">Model!G9/(G14+G15)</f>
        <v>4.04576814419812</v>
      </c>
      <c r="H33" s="29" t="n">
        <f aca="false">Model!H9/(H14+H15)</f>
        <v>5.04234367942837</v>
      </c>
    </row>
    <row r="35" customFormat="false" ht="39.75" hidden="false" customHeight="true" outlineLevel="0" collapsed="false">
      <c r="B35" s="20" t="s">
        <v>151</v>
      </c>
      <c r="C35" s="20"/>
      <c r="D35" s="20"/>
      <c r="E35" s="20"/>
      <c r="F35" s="20"/>
      <c r="G35" s="20"/>
      <c r="H35" s="20"/>
      <c r="I35" s="20"/>
    </row>
  </sheetData>
  <mergeCells count="1">
    <mergeCell ref="B35:I35"/>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&amp;L&amp;"Arial,Bold"&amp;8Cognizant Technology Solutions — Leveraged Buyout — Debt Schedule and Returns&amp;R&amp;"Arial,Regular"&amp;8Debt Schedule</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6"/>
    <col collapsed="false" customWidth="true" hidden="false" outlineLevel="0" max="5" min="3" style="0" width="14"/>
    <col collapsed="false" customWidth="true" hidden="false" outlineLevel="0" max="6" min="6" style="0" width="56"/>
  </cols>
  <sheetData>
    <row r="1" customFormat="false" ht="30" hidden="false" customHeight="true" outlineLevel="0" collapsed="false">
      <c r="A1" s="1"/>
      <c r="B1" s="22" t="s">
        <v>40</v>
      </c>
      <c r="C1" s="1"/>
      <c r="D1" s="1"/>
      <c r="E1" s="1"/>
      <c r="F1" s="23" t="s">
        <v>41</v>
      </c>
    </row>
    <row r="2" customFormat="false" ht="18" hidden="false" customHeight="true" outlineLevel="0" collapsed="false">
      <c r="A2" s="1"/>
      <c r="B2" s="24" t="s">
        <v>152</v>
      </c>
      <c r="C2" s="1"/>
      <c r="D2" s="1"/>
      <c r="E2" s="1"/>
      <c r="F2" s="1"/>
    </row>
    <row r="4" customFormat="false" ht="15.75" hidden="false" customHeight="true" outlineLevel="0" collapsed="false">
      <c r="B4" s="25" t="s">
        <v>153</v>
      </c>
      <c r="C4" s="1"/>
      <c r="D4" s="1"/>
      <c r="E4" s="1"/>
      <c r="F4" s="1"/>
    </row>
    <row r="5" customFormat="false" ht="15" hidden="false" customHeight="false" outlineLevel="0" collapsed="false">
      <c r="B5" s="21" t="s">
        <v>154</v>
      </c>
      <c r="C5" s="36" t="n">
        <f aca="false">Model!H9</f>
        <v>5315.4981658921</v>
      </c>
    </row>
    <row r="6" customFormat="false" ht="15" hidden="false" customHeight="false" outlineLevel="0" collapsed="false">
      <c r="B6" s="21" t="s">
        <v>155</v>
      </c>
      <c r="C6" s="43" t="n">
        <f aca="false">Inputs!$C$40</f>
        <v>9</v>
      </c>
    </row>
    <row r="7" customFormat="false" ht="15" hidden="false" customHeight="false" outlineLevel="0" collapsed="false">
      <c r="B7" s="34" t="s">
        <v>156</v>
      </c>
      <c r="C7" s="28" t="n">
        <f aca="false">Returns!$C$5*Returns!$C$6</f>
        <v>47839.4834930289</v>
      </c>
    </row>
    <row r="8" customFormat="false" ht="15" hidden="false" customHeight="false" outlineLevel="0" collapsed="false">
      <c r="B8" s="21" t="s">
        <v>157</v>
      </c>
      <c r="C8" s="28" t="n">
        <f aca="false">-'Debt Schedule'!H12</f>
        <v>-9955.99686879835</v>
      </c>
    </row>
    <row r="9" customFormat="false" ht="15" hidden="false" customHeight="false" outlineLevel="0" collapsed="false">
      <c r="B9" s="34" t="s">
        <v>158</v>
      </c>
      <c r="C9" s="40" t="n">
        <f aca="false">Returns!$C$7+Returns!$C$8</f>
        <v>37883.4866242305</v>
      </c>
    </row>
    <row r="11" customFormat="false" ht="15" hidden="false" customHeight="false" outlineLevel="0" collapsed="false">
      <c r="B11" s="21" t="s">
        <v>159</v>
      </c>
      <c r="C11" s="36" t="n">
        <f aca="false">'Sources &amp; Uses'!$C$24</f>
        <v>18924.90324</v>
      </c>
    </row>
    <row r="12" customFormat="false" ht="15" hidden="false" customHeight="false" outlineLevel="0" collapsed="false">
      <c r="B12" s="34" t="s">
        <v>160</v>
      </c>
      <c r="C12" s="29" t="n">
        <f aca="false">Returns!$C$9/Returns!$C$11</f>
        <v>2.00177967325927</v>
      </c>
    </row>
    <row r="13" customFormat="false" ht="22.35" hidden="false" customHeight="false" outlineLevel="0" collapsed="false">
      <c r="B13" s="34" t="s">
        <v>25</v>
      </c>
      <c r="C13" s="44" t="n">
        <f aca="false">Returns!$C$12^(1/5)-1</f>
        <v>0.148902713046399</v>
      </c>
      <c r="F13" s="30" t="s">
        <v>161</v>
      </c>
    </row>
    <row r="14" customFormat="false" ht="15" hidden="false" customHeight="false" outlineLevel="0" collapsed="false">
      <c r="B14" s="34" t="s">
        <v>162</v>
      </c>
      <c r="C14" s="35" t="n">
        <f aca="false">(Returns!$C$13-Inputs!$C$41)*100</f>
        <v>-5.10972869536013</v>
      </c>
    </row>
    <row r="16" customFormat="false" ht="15.75" hidden="false" customHeight="true" outlineLevel="0" collapsed="false">
      <c r="B16" s="25" t="s">
        <v>163</v>
      </c>
      <c r="C16" s="1"/>
      <c r="D16" s="1"/>
      <c r="E16" s="1"/>
      <c r="F16" s="1"/>
    </row>
    <row r="17" customFormat="false" ht="15" hidden="false" customHeight="false" outlineLevel="0" collapsed="false">
      <c r="B17" s="21" t="s">
        <v>164</v>
      </c>
      <c r="C17" s="28" t="n">
        <f aca="false">'Debt Schedule'!C12-'Debt Schedule'!H12</f>
        <v>11390.5031312017</v>
      </c>
    </row>
    <row r="18" customFormat="false" ht="15" hidden="false" customHeight="false" outlineLevel="0" collapsed="false">
      <c r="B18" s="21" t="s">
        <v>165</v>
      </c>
      <c r="C18" s="28" t="n">
        <f aca="false">(Returns!$C$5-Inputs!$C$6)*Returns!$C$6</f>
        <v>11245.4834930289</v>
      </c>
    </row>
    <row r="19" customFormat="false" ht="15" hidden="false" customHeight="false" outlineLevel="0" collapsed="false">
      <c r="B19" s="21" t="s">
        <v>166</v>
      </c>
      <c r="C19" s="28" t="n">
        <f aca="false">(Returns!$C$6-'Sources &amp; Uses'!$C$8)*Inputs!$C$6</f>
        <v>-2360.924</v>
      </c>
      <c r="F19" s="30" t="s">
        <v>167</v>
      </c>
    </row>
    <row r="20" customFormat="false" ht="15" hidden="false" customHeight="false" outlineLevel="0" collapsed="false">
      <c r="B20" s="34" t="s">
        <v>168</v>
      </c>
      <c r="C20" s="40" t="n">
        <f aca="false">Returns!$C$9-Returns!$C$11</f>
        <v>18958.5833842305</v>
      </c>
    </row>
    <row r="22" customFormat="false" ht="15.75" hidden="false" customHeight="true" outlineLevel="0" collapsed="false">
      <c r="B22" s="25" t="s">
        <v>169</v>
      </c>
      <c r="C22" s="1"/>
      <c r="D22" s="1"/>
      <c r="E22" s="1"/>
      <c r="F22" s="1"/>
    </row>
    <row r="23" customFormat="false" ht="15" hidden="false" customHeight="false" outlineLevel="0" collapsed="false">
      <c r="B23" s="21" t="s">
        <v>170</v>
      </c>
      <c r="C23" s="28" t="n">
        <f aca="false">Returns!$C$9/(1+Inputs!$C$41)^5</f>
        <v>15224.5236240638</v>
      </c>
    </row>
    <row r="24" customFormat="false" ht="15" hidden="false" customHeight="false" outlineLevel="0" collapsed="false">
      <c r="B24" s="21" t="s">
        <v>171</v>
      </c>
      <c r="C24" s="28" t="n">
        <f aca="false">Returns!$C$23+'Sources &amp; Uses'!$C$21+'Sources &amp; Uses'!$C$22+'Sources &amp; Uses'!$C$23-Inputs!$C$10-'Sources &amp; Uses'!$C$16-'Sources &amp; Uses'!$C$17</f>
        <v>36003.5443840638</v>
      </c>
    </row>
    <row r="25" customFormat="false" ht="22.35" hidden="false" customHeight="false" outlineLevel="0" collapsed="false">
      <c r="B25" s="34" t="s">
        <v>172</v>
      </c>
      <c r="C25" s="45" t="n">
        <f aca="false">Returns!$C$24/Inputs!$C$12</f>
        <v>73.7777548853767</v>
      </c>
      <c r="F25" s="30" t="s">
        <v>173</v>
      </c>
    </row>
    <row r="26" customFormat="false" ht="15" hidden="false" customHeight="false" outlineLevel="0" collapsed="false">
      <c r="B26" s="34" t="s">
        <v>174</v>
      </c>
      <c r="C26" s="38" t="n">
        <f aca="false">Returns!$C$25/Inputs!$C$13-1</f>
        <v>0.178840854603766</v>
      </c>
    </row>
    <row r="27" customFormat="false" ht="33.75" hidden="false" customHeight="true" outlineLevel="0" collapsed="false">
      <c r="B27" s="20" t="s">
        <v>175</v>
      </c>
      <c r="C27" s="20"/>
      <c r="D27" s="20"/>
      <c r="E27" s="20"/>
      <c r="F27" s="20"/>
    </row>
  </sheetData>
  <mergeCells count="1">
    <mergeCell ref="B27:F2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&amp;L&amp;"Arial,Bold"&amp;8Cognizant Technology Solutions — Leveraged Buyout — Debt Schedule and Returns&amp;R&amp;"Arial,Regular"&amp;8Returns</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8" min="3" style="0" width="13"/>
  </cols>
  <sheetData>
    <row r="1" customFormat="false" ht="30" hidden="false" customHeight="true" outlineLevel="0" collapsed="false">
      <c r="A1" s="1"/>
      <c r="B1" s="22" t="s">
        <v>40</v>
      </c>
      <c r="C1" s="1"/>
      <c r="D1" s="1"/>
      <c r="E1" s="1"/>
      <c r="F1" s="1"/>
      <c r="G1" s="1"/>
      <c r="H1" s="23" t="s">
        <v>41</v>
      </c>
    </row>
    <row r="2" customFormat="false" ht="18" hidden="false" customHeight="true" outlineLevel="0" collapsed="false">
      <c r="A2" s="1"/>
      <c r="B2" s="24" t="s">
        <v>176</v>
      </c>
      <c r="C2" s="1"/>
      <c r="D2" s="1"/>
      <c r="E2" s="1"/>
      <c r="F2" s="1"/>
      <c r="G2" s="1"/>
      <c r="H2" s="1"/>
    </row>
    <row r="4" customFormat="false" ht="15.75" hidden="false" customHeight="true" outlineLevel="0" collapsed="false">
      <c r="B4" s="25" t="s">
        <v>177</v>
      </c>
      <c r="C4" s="1"/>
      <c r="D4" s="1"/>
      <c r="E4" s="1"/>
      <c r="F4" s="1"/>
      <c r="G4" s="1"/>
      <c r="H4" s="1"/>
    </row>
    <row r="5" customFormat="false" ht="15" hidden="false" customHeight="false" outlineLevel="0" collapsed="false">
      <c r="B5" s="34" t="s">
        <v>178</v>
      </c>
      <c r="C5" s="46" t="n">
        <v>0.1</v>
      </c>
      <c r="D5" s="46" t="n">
        <v>0.2</v>
      </c>
      <c r="E5" s="46" t="n">
        <v>0.3</v>
      </c>
      <c r="F5" s="46" t="n">
        <v>0.4</v>
      </c>
      <c r="G5" s="46" t="n">
        <v>0.5</v>
      </c>
    </row>
    <row r="6" customFormat="false" ht="15" hidden="false" customHeight="false" outlineLevel="0" collapsed="false">
      <c r="B6" s="47" t="n">
        <v>8</v>
      </c>
      <c r="C6" s="38" t="n">
        <f aca="false">((Model!H9*$B6-('Debt Schedule'!H12+(Inputs!$C$6*(Inputs!$C$27+Inputs!$C$28))-'Sources &amp; Uses'!$C$15))/(((Inputs!$C$13*(1+C$5)*Inputs!$C$12)+Inputs!$C$10+(Inputs!$C$6*(Inputs!$C$27+Inputs!$C$28))*Inputs!$C$22+((Inputs!$C$13*(1+C$5)*Inputs!$C$12)+Inputs!$C$10-Inputs!$C$11)*Inputs!$C$23)-(Inputs!$C$6*(Inputs!$C$27+Inputs!$C$28))-'Sources &amp; Uses'!$C$23))^(1/5)-1</f>
        <v>0.206197778666644</v>
      </c>
      <c r="D6" s="38" t="n">
        <f aca="false">((Model!H9*$B6-('Debt Schedule'!H12+(Inputs!$C$6*(Inputs!$C$27+Inputs!$C$28))-'Sources &amp; Uses'!$C$15))/(((Inputs!$C$13*(1+D$5)*Inputs!$C$12)+Inputs!$C$10+(Inputs!$C$6*(Inputs!$C$27+Inputs!$C$28))*Inputs!$C$22+((Inputs!$C$13*(1+D$5)*Inputs!$C$12)+Inputs!$C$10-Inputs!$C$11)*Inputs!$C$23)-(Inputs!$C$6*(Inputs!$C$27+Inputs!$C$28))-'Sources &amp; Uses'!$C$23))^(1/5)-1</f>
        <v>0.155063816829787</v>
      </c>
      <c r="E6" s="38" t="n">
        <f aca="false">((Model!H9*$B6-('Debt Schedule'!H12+(Inputs!$C$6*(Inputs!$C$27+Inputs!$C$28))-'Sources &amp; Uses'!$C$15))/(((Inputs!$C$13*(1+E$5)*Inputs!$C$12)+Inputs!$C$10+(Inputs!$C$6*(Inputs!$C$27+Inputs!$C$28))*Inputs!$C$22+((Inputs!$C$13*(1+E$5)*Inputs!$C$12)+Inputs!$C$10-Inputs!$C$11)*Inputs!$C$23)-(Inputs!$C$6*(Inputs!$C$27+Inputs!$C$28))-'Sources &amp; Uses'!$C$23))^(1/5)-1</f>
        <v>0.11468319451937</v>
      </c>
      <c r="F6" s="38" t="n">
        <f aca="false">((Model!H9*$B6-('Debt Schedule'!H12+(Inputs!$C$6*(Inputs!$C$27+Inputs!$C$28))-'Sources &amp; Uses'!$C$15))/(((Inputs!$C$13*(1+F$5)*Inputs!$C$12)+Inputs!$C$10+(Inputs!$C$6*(Inputs!$C$27+Inputs!$C$28))*Inputs!$C$22+((Inputs!$C$13*(1+F$5)*Inputs!$C$12)+Inputs!$C$10-Inputs!$C$11)*Inputs!$C$23)-(Inputs!$C$6*(Inputs!$C$27+Inputs!$C$28))-'Sources &amp; Uses'!$C$23))^(1/5)-1</f>
        <v>0.0815230651170404</v>
      </c>
      <c r="G6" s="38" t="n">
        <f aca="false">((Model!H9*$B6-('Debt Schedule'!H12+(Inputs!$C$6*(Inputs!$C$27+Inputs!$C$28))-'Sources &amp; Uses'!$C$15))/(((Inputs!$C$13*(1+G$5)*Inputs!$C$12)+Inputs!$C$10+(Inputs!$C$6*(Inputs!$C$27+Inputs!$C$28))*Inputs!$C$22+((Inputs!$C$13*(1+G$5)*Inputs!$C$12)+Inputs!$C$10-Inputs!$C$11)*Inputs!$C$23)-(Inputs!$C$6*(Inputs!$C$27+Inputs!$C$28))-'Sources &amp; Uses'!$C$23))^(1/5)-1</f>
        <v>0.0535210841410179</v>
      </c>
    </row>
    <row r="7" customFormat="false" ht="15" hidden="false" customHeight="false" outlineLevel="0" collapsed="false">
      <c r="B7" s="47" t="n">
        <v>8.5</v>
      </c>
      <c r="C7" s="38" t="n">
        <f aca="false">((Model!H9*$B7-('Debt Schedule'!H12+(Inputs!$C$6*(Inputs!$C$27+Inputs!$C$28))-'Sources &amp; Uses'!$C$15))/(((Inputs!$C$13*(1+C$5)*Inputs!$C$12)+Inputs!$C$10+(Inputs!$C$6*(Inputs!$C$27+Inputs!$C$28))*Inputs!$C$22+((Inputs!$C$13*(1+C$5)*Inputs!$C$12)+Inputs!$C$10-Inputs!$C$11)*Inputs!$C$23)-(Inputs!$C$6*(Inputs!$C$27+Inputs!$C$28))-'Sources &amp; Uses'!$C$23))^(1/5)-1</f>
        <v>0.225271568732347</v>
      </c>
      <c r="D7" s="38" t="n">
        <f aca="false">((Model!H9*$B7-('Debt Schedule'!H12+(Inputs!$C$6*(Inputs!$C$27+Inputs!$C$28))-'Sources &amp; Uses'!$C$15))/(((Inputs!$C$13*(1+D$5)*Inputs!$C$12)+Inputs!$C$10+(Inputs!$C$6*(Inputs!$C$27+Inputs!$C$28))*Inputs!$C$22+((Inputs!$C$13*(1+D$5)*Inputs!$C$12)+Inputs!$C$10-Inputs!$C$11)*Inputs!$C$23)-(Inputs!$C$6*(Inputs!$C$27+Inputs!$C$28))-'Sources &amp; Uses'!$C$23))^(1/5)-1</f>
        <v>0.173329017731628</v>
      </c>
      <c r="E7" s="38" t="n">
        <f aca="false">((Model!H9*$B7-('Debt Schedule'!H12+(Inputs!$C$6*(Inputs!$C$27+Inputs!$C$28))-'Sources &amp; Uses'!$C$15))/(((Inputs!$C$13*(1+E$5)*Inputs!$C$12)+Inputs!$C$10+(Inputs!$C$6*(Inputs!$C$27+Inputs!$C$28))*Inputs!$C$22+((Inputs!$C$13*(1+E$5)*Inputs!$C$12)+Inputs!$C$10-Inputs!$C$11)*Inputs!$C$23)-(Inputs!$C$6*(Inputs!$C$27+Inputs!$C$28))-'Sources &amp; Uses'!$C$23))^(1/5)-1</f>
        <v>0.132309850460929</v>
      </c>
      <c r="F7" s="38" t="n">
        <f aca="false">((Model!H9*$B7-('Debt Schedule'!H12+(Inputs!$C$6*(Inputs!$C$27+Inputs!$C$28))-'Sources &amp; Uses'!$C$15))/(((Inputs!$C$13*(1+F$5)*Inputs!$C$12)+Inputs!$C$10+(Inputs!$C$6*(Inputs!$C$27+Inputs!$C$28))*Inputs!$C$22+((Inputs!$C$13*(1+F$5)*Inputs!$C$12)+Inputs!$C$10-Inputs!$C$11)*Inputs!$C$23)-(Inputs!$C$6*(Inputs!$C$27+Inputs!$C$28))-'Sources &amp; Uses'!$C$23))^(1/5)-1</f>
        <v>0.0986253548576679</v>
      </c>
      <c r="G7" s="38" t="n">
        <f aca="false">((Model!H9*$B7-('Debt Schedule'!H12+(Inputs!$C$6*(Inputs!$C$27+Inputs!$C$28))-'Sources &amp; Uses'!$C$15))/(((Inputs!$C$13*(1+G$5)*Inputs!$C$12)+Inputs!$C$10+(Inputs!$C$6*(Inputs!$C$27+Inputs!$C$28))*Inputs!$C$22+((Inputs!$C$13*(1+G$5)*Inputs!$C$12)+Inputs!$C$10-Inputs!$C$11)*Inputs!$C$23)-(Inputs!$C$6*(Inputs!$C$27+Inputs!$C$28))-'Sources &amp; Uses'!$C$23))^(1/5)-1</f>
        <v>0.070180574271161</v>
      </c>
    </row>
    <row r="8" customFormat="false" ht="15" hidden="false" customHeight="false" outlineLevel="0" collapsed="false">
      <c r="B8" s="47" t="n">
        <v>9</v>
      </c>
      <c r="C8" s="38" t="n">
        <f aca="false">((Model!H9*$B8-('Debt Schedule'!H12+(Inputs!$C$6*(Inputs!$C$27+Inputs!$C$28))-'Sources &amp; Uses'!$C$15))/(((Inputs!$C$13*(1+C$5)*Inputs!$C$12)+Inputs!$C$10+(Inputs!$C$6*(Inputs!$C$27+Inputs!$C$28))*Inputs!$C$22+((Inputs!$C$13*(1+C$5)*Inputs!$C$12)+Inputs!$C$10-Inputs!$C$11)*Inputs!$C$23)-(Inputs!$C$6*(Inputs!$C$27+Inputs!$C$28))-'Sources &amp; Uses'!$C$23))^(1/5)-1</f>
        <v>0.243226691847793</v>
      </c>
      <c r="D8" s="38" t="n">
        <f aca="false">((Model!H9*$B8-('Debt Schedule'!H12+(Inputs!$C$6*(Inputs!$C$27+Inputs!$C$28))-'Sources &amp; Uses'!$C$15))/(((Inputs!$C$13*(1+D$5)*Inputs!$C$12)+Inputs!$C$10+(Inputs!$C$6*(Inputs!$C$27+Inputs!$C$28))*Inputs!$C$22+((Inputs!$C$13*(1+D$5)*Inputs!$C$12)+Inputs!$C$10-Inputs!$C$11)*Inputs!$C$23)-(Inputs!$C$6*(Inputs!$C$27+Inputs!$C$28))-'Sources &amp; Uses'!$C$23))^(1/5)-1</f>
        <v>0.19052297497826</v>
      </c>
      <c r="E8" s="48" t="n">
        <f aca="false">((Model!H9*$B8-('Debt Schedule'!H12+(Inputs!$C$6*(Inputs!$C$27+Inputs!$C$28))-'Sources &amp; Uses'!$C$15))/(((Inputs!$C$13*(1+E$5)*Inputs!$C$12)+Inputs!$C$10+(Inputs!$C$6*(Inputs!$C$27+Inputs!$C$28))*Inputs!$C$22+((Inputs!$C$13*(1+E$5)*Inputs!$C$12)+Inputs!$C$10-Inputs!$C$11)*Inputs!$C$23)-(Inputs!$C$6*(Inputs!$C$27+Inputs!$C$28))-'Sources &amp; Uses'!$C$23))^(1/5)-1</f>
        <v>0.148902713046399</v>
      </c>
      <c r="F8" s="38" t="n">
        <f aca="false">((Model!H9*$B8-('Debt Schedule'!H12+(Inputs!$C$6*(Inputs!$C$27+Inputs!$C$28))-'Sources &amp; Uses'!$C$15))/(((Inputs!$C$13*(1+F$5)*Inputs!$C$12)+Inputs!$C$10+(Inputs!$C$6*(Inputs!$C$27+Inputs!$C$28))*Inputs!$C$22+((Inputs!$C$13*(1+F$5)*Inputs!$C$12)+Inputs!$C$10-Inputs!$C$11)*Inputs!$C$23)-(Inputs!$C$6*(Inputs!$C$27+Inputs!$C$28))-'Sources &amp; Uses'!$C$23))^(1/5)-1</f>
        <v>0.114724605021963</v>
      </c>
      <c r="G8" s="38" t="n">
        <f aca="false">((Model!H9*$B8-('Debt Schedule'!H12+(Inputs!$C$6*(Inputs!$C$27+Inputs!$C$28))-'Sources &amp; Uses'!$C$15))/(((Inputs!$C$13*(1+G$5)*Inputs!$C$12)+Inputs!$C$10+(Inputs!$C$6*(Inputs!$C$27+Inputs!$C$28))*Inputs!$C$22+((Inputs!$C$13*(1+G$5)*Inputs!$C$12)+Inputs!$C$10-Inputs!$C$11)*Inputs!$C$23)-(Inputs!$C$6*(Inputs!$C$27+Inputs!$C$28))-'Sources &amp; Uses'!$C$23))^(1/5)-1</f>
        <v>0.0858629947705427</v>
      </c>
    </row>
    <row r="9" customFormat="false" ht="15" hidden="false" customHeight="false" outlineLevel="0" collapsed="false">
      <c r="B9" s="47" t="n">
        <v>9.5</v>
      </c>
      <c r="C9" s="38" t="n">
        <f aca="false">((Model!H9*$B9-('Debt Schedule'!H12+(Inputs!$C$6*(Inputs!$C$27+Inputs!$C$28))-'Sources &amp; Uses'!$C$15))/(((Inputs!$C$13*(1+C$5)*Inputs!$C$12)+Inputs!$C$10+(Inputs!$C$6*(Inputs!$C$27+Inputs!$C$28))*Inputs!$C$22+((Inputs!$C$13*(1+C$5)*Inputs!$C$12)+Inputs!$C$10-Inputs!$C$11)*Inputs!$C$23)-(Inputs!$C$6*(Inputs!$C$27+Inputs!$C$28))-'Sources &amp; Uses'!$C$23))^(1/5)-1</f>
        <v>0.260200749689119</v>
      </c>
      <c r="D9" s="38" t="n">
        <f aca="false">((Model!H9*$B9-('Debt Schedule'!H12+(Inputs!$C$6*(Inputs!$C$27+Inputs!$C$28))-'Sources &amp; Uses'!$C$15))/(((Inputs!$C$13*(1+D$5)*Inputs!$C$12)+Inputs!$C$10+(Inputs!$C$6*(Inputs!$C$27+Inputs!$C$28))*Inputs!$C$22+((Inputs!$C$13*(1+D$5)*Inputs!$C$12)+Inputs!$C$10-Inputs!$C$11)*Inputs!$C$23)-(Inputs!$C$6*(Inputs!$C$27+Inputs!$C$28))-'Sources &amp; Uses'!$C$23))^(1/5)-1</f>
        <v>0.206777456941378</v>
      </c>
      <c r="E9" s="38" t="n">
        <f aca="false">((Model!H9*$B9-('Debt Schedule'!H12+(Inputs!$C$6*(Inputs!$C$27+Inputs!$C$28))-'Sources &amp; Uses'!$C$15))/(((Inputs!$C$13*(1+E$5)*Inputs!$C$12)+Inputs!$C$10+(Inputs!$C$6*(Inputs!$C$27+Inputs!$C$28))*Inputs!$C$22+((Inputs!$C$13*(1+E$5)*Inputs!$C$12)+Inputs!$C$10-Inputs!$C$11)*Inputs!$C$23)-(Inputs!$C$6*(Inputs!$C$27+Inputs!$C$28))-'Sources &amp; Uses'!$C$23))^(1/5)-1</f>
        <v>0.164588944071828</v>
      </c>
      <c r="F9" s="38" t="n">
        <f aca="false">((Model!H9*$B9-('Debt Schedule'!H12+(Inputs!$C$6*(Inputs!$C$27+Inputs!$C$28))-'Sources &amp; Uses'!$C$15))/(((Inputs!$C$13*(1+F$5)*Inputs!$C$12)+Inputs!$C$10+(Inputs!$C$6*(Inputs!$C$27+Inputs!$C$28))*Inputs!$C$22+((Inputs!$C$13*(1+F$5)*Inputs!$C$12)+Inputs!$C$10-Inputs!$C$11)*Inputs!$C$23)-(Inputs!$C$6*(Inputs!$C$27+Inputs!$C$28))-'Sources &amp; Uses'!$C$23))^(1/5)-1</f>
        <v>0.129944194535979</v>
      </c>
      <c r="G9" s="38" t="n">
        <f aca="false">((Model!H9*$B9-('Debt Schedule'!H12+(Inputs!$C$6*(Inputs!$C$27+Inputs!$C$28))-'Sources &amp; Uses'!$C$15))/(((Inputs!$C$13*(1+G$5)*Inputs!$C$12)+Inputs!$C$10+(Inputs!$C$6*(Inputs!$C$27+Inputs!$C$28))*Inputs!$C$22+((Inputs!$C$13*(1+G$5)*Inputs!$C$12)+Inputs!$C$10-Inputs!$C$11)*Inputs!$C$23)-(Inputs!$C$6*(Inputs!$C$27+Inputs!$C$28))-'Sources &amp; Uses'!$C$23))^(1/5)-1</f>
        <v>0.100688530130949</v>
      </c>
    </row>
    <row r="10" customFormat="false" ht="15" hidden="false" customHeight="false" outlineLevel="0" collapsed="false">
      <c r="B10" s="47" t="n">
        <v>10</v>
      </c>
      <c r="C10" s="38" t="n">
        <f aca="false">((Model!H9*$B10-('Debt Schedule'!H12+(Inputs!$C$6*(Inputs!$C$27+Inputs!$C$28))-'Sources &amp; Uses'!$C$15))/(((Inputs!$C$13*(1+C$5)*Inputs!$C$12)+Inputs!$C$10+(Inputs!$C$6*(Inputs!$C$27+Inputs!$C$28))*Inputs!$C$22+((Inputs!$C$13*(1+C$5)*Inputs!$C$12)+Inputs!$C$10-Inputs!$C$11)*Inputs!$C$23)-(Inputs!$C$6*(Inputs!$C$27+Inputs!$C$28))-'Sources &amp; Uses'!$C$23))^(1/5)-1</f>
        <v>0.276306689126985</v>
      </c>
      <c r="D10" s="38" t="n">
        <f aca="false">((Model!H9*$B10-('Debt Schedule'!H12+(Inputs!$C$6*(Inputs!$C$27+Inputs!$C$28))-'Sources &amp; Uses'!$C$15))/(((Inputs!$C$13*(1+D$5)*Inputs!$C$12)+Inputs!$C$10+(Inputs!$C$6*(Inputs!$C$27+Inputs!$C$28))*Inputs!$C$22+((Inputs!$C$13*(1+D$5)*Inputs!$C$12)+Inputs!$C$10-Inputs!$C$11)*Inputs!$C$23)-(Inputs!$C$6*(Inputs!$C$27+Inputs!$C$28))-'Sources &amp; Uses'!$C$23))^(1/5)-1</f>
        <v>0.222200622370597</v>
      </c>
      <c r="E10" s="38" t="n">
        <f aca="false">((Model!H9*$B10-('Debt Schedule'!H12+(Inputs!$C$6*(Inputs!$C$27+Inputs!$C$28))-'Sources &amp; Uses'!$C$15))/(((Inputs!$C$13*(1+E$5)*Inputs!$C$12)+Inputs!$C$10+(Inputs!$C$6*(Inputs!$C$27+Inputs!$C$28))*Inputs!$C$22+((Inputs!$C$13*(1+E$5)*Inputs!$C$12)+Inputs!$C$10-Inputs!$C$11)*Inputs!$C$23)-(Inputs!$C$6*(Inputs!$C$27+Inputs!$C$28))-'Sources &amp; Uses'!$C$23))^(1/5)-1</f>
        <v>0.179472921095217</v>
      </c>
      <c r="F10" s="38" t="n">
        <f aca="false">((Model!H9*$B10-('Debt Schedule'!H12+(Inputs!$C$6*(Inputs!$C$27+Inputs!$C$28))-'Sources &amp; Uses'!$C$15))/(((Inputs!$C$13*(1+F$5)*Inputs!$C$12)+Inputs!$C$10+(Inputs!$C$6*(Inputs!$C$27+Inputs!$C$28))*Inputs!$C$22+((Inputs!$C$13*(1+F$5)*Inputs!$C$12)+Inputs!$C$10-Inputs!$C$11)*Inputs!$C$23)-(Inputs!$C$6*(Inputs!$C$27+Inputs!$C$28))-'Sources &amp; Uses'!$C$23))^(1/5)-1</f>
        <v>0.144385395884141</v>
      </c>
      <c r="G10" s="38" t="n">
        <f aca="false">((Model!H9*$B10-('Debt Schedule'!H12+(Inputs!$C$6*(Inputs!$C$27+Inputs!$C$28))-'Sources &amp; Uses'!$C$15))/(((Inputs!$C$13*(1+G$5)*Inputs!$C$12)+Inputs!$C$10+(Inputs!$C$6*(Inputs!$C$27+Inputs!$C$28))*Inputs!$C$22+((Inputs!$C$13*(1+G$5)*Inputs!$C$12)+Inputs!$C$10-Inputs!$C$11)*Inputs!$C$23)-(Inputs!$C$6*(Inputs!$C$27+Inputs!$C$28))-'Sources &amp; Uses'!$C$23))^(1/5)-1</f>
        <v>0.114755830765881</v>
      </c>
    </row>
    <row r="12" customFormat="false" ht="15.75" hidden="false" customHeight="true" outlineLevel="0" collapsed="false">
      <c r="B12" s="25" t="s">
        <v>179</v>
      </c>
      <c r="C12" s="1"/>
      <c r="D12" s="1"/>
      <c r="E12" s="1"/>
      <c r="F12" s="1"/>
      <c r="G12" s="1"/>
      <c r="H12" s="1"/>
    </row>
    <row r="13" customFormat="false" ht="15" hidden="false" customHeight="false" outlineLevel="0" collapsed="false">
      <c r="B13" s="34" t="s">
        <v>180</v>
      </c>
      <c r="C13" s="49" t="n">
        <v>4.25</v>
      </c>
      <c r="D13" s="49" t="n">
        <v>4.75</v>
      </c>
      <c r="E13" s="49" t="n">
        <v>5.25</v>
      </c>
      <c r="F13" s="49" t="n">
        <v>5.75</v>
      </c>
      <c r="G13" s="49" t="n">
        <v>6.25</v>
      </c>
    </row>
    <row r="14" customFormat="false" ht="15" hidden="false" customHeight="false" outlineLevel="0" collapsed="false">
      <c r="B14" s="47" t="n">
        <v>8</v>
      </c>
      <c r="C14" s="38" t="n">
        <f aca="false">((Model!H9*$B14-('Debt Schedule'!H12+(Inputs!$C$6*C$13)-'Sources &amp; Uses'!$C$15))/(((Inputs!$C$13*(1+Inputs!$C$20)*Inputs!$C$12)+Inputs!$C$10+(Inputs!$C$6*C$13)*Inputs!$C$22+((Inputs!$C$13*(1+Inputs!$C$20)*Inputs!$C$12)+Inputs!$C$10-Inputs!$C$11)*Inputs!$C$23)-(Inputs!$C$6*C$13)-'Sources &amp; Uses'!$C$23))^(1/5)-1</f>
        <v>0.0984325731855766</v>
      </c>
      <c r="D14" s="38" t="n">
        <f aca="false">((Model!H9*$B14-('Debt Schedule'!H12+(Inputs!$C$6*D$13)-'Sources &amp; Uses'!$C$15))/(((Inputs!$C$13*(1+Inputs!$C$20)*Inputs!$C$12)+Inputs!$C$10+(Inputs!$C$6*D$13)*Inputs!$C$22+((Inputs!$C$13*(1+Inputs!$C$20)*Inputs!$C$12)+Inputs!$C$10-Inputs!$C$11)*Inputs!$C$23)-(Inputs!$C$6*D$13)-'Sources &amp; Uses'!$C$23))^(1/5)-1</f>
        <v>0.105902428580514</v>
      </c>
      <c r="E14" s="38" t="n">
        <f aca="false">((Model!H9*$B14-('Debt Schedule'!H12+(Inputs!$C$6*E$13)-'Sources &amp; Uses'!$C$15))/(((Inputs!$C$13*(1+Inputs!$C$20)*Inputs!$C$12)+Inputs!$C$10+(Inputs!$C$6*E$13)*Inputs!$C$22+((Inputs!$C$13*(1+Inputs!$C$20)*Inputs!$C$12)+Inputs!$C$10-Inputs!$C$11)*Inputs!$C$23)-(Inputs!$C$6*E$13)-'Sources &amp; Uses'!$C$23))^(1/5)-1</f>
        <v>0.11468319451937</v>
      </c>
      <c r="F14" s="38" t="n">
        <f aca="false">((Model!H9*$B14-('Debt Schedule'!H12+(Inputs!$C$6*F$13)-'Sources &amp; Uses'!$C$15))/(((Inputs!$C$13*(1+Inputs!$C$20)*Inputs!$C$12)+Inputs!$C$10+(Inputs!$C$6*F$13)*Inputs!$C$22+((Inputs!$C$13*(1+Inputs!$C$20)*Inputs!$C$12)+Inputs!$C$10-Inputs!$C$11)*Inputs!$C$23)-(Inputs!$C$6*F$13)-'Sources &amp; Uses'!$C$23))^(1/5)-1</f>
        <v>0.125161881929406</v>
      </c>
      <c r="G14" s="38" t="n">
        <f aca="false">((Model!H9*$B14-('Debt Schedule'!H12+(Inputs!$C$6*G$13)-'Sources &amp; Uses'!$C$15))/(((Inputs!$C$13*(1+Inputs!$C$20)*Inputs!$C$12)+Inputs!$C$10+(Inputs!$C$6*G$13)*Inputs!$C$22+((Inputs!$C$13*(1+Inputs!$C$20)*Inputs!$C$12)+Inputs!$C$10-Inputs!$C$11)*Inputs!$C$23)-(Inputs!$C$6*G$13)-'Sources &amp; Uses'!$C$23))^(1/5)-1</f>
        <v>0.137898734968871</v>
      </c>
    </row>
    <row r="15" customFormat="false" ht="15" hidden="false" customHeight="false" outlineLevel="0" collapsed="false">
      <c r="B15" s="47" t="n">
        <v>8.5</v>
      </c>
      <c r="C15" s="38" t="n">
        <f aca="false">((Model!H9*$B15-('Debt Schedule'!H12+(Inputs!$C$6*C$13)-'Sources &amp; Uses'!$C$15))/(((Inputs!$C$13*(1+Inputs!$C$20)*Inputs!$C$12)+Inputs!$C$10+(Inputs!$C$6*C$13)*Inputs!$C$22+((Inputs!$C$13*(1+Inputs!$C$20)*Inputs!$C$12)+Inputs!$C$10-Inputs!$C$11)*Inputs!$C$23)-(Inputs!$C$6*C$13)-'Sources &amp; Uses'!$C$23))^(1/5)-1</f>
        <v>0.113927201019272</v>
      </c>
      <c r="D15" s="38" t="n">
        <f aca="false">((Model!H9*$B15-('Debt Schedule'!H12+(Inputs!$C$6*D$13)-'Sources &amp; Uses'!$C$15))/(((Inputs!$C$13*(1+Inputs!$C$20)*Inputs!$C$12)+Inputs!$C$10+(Inputs!$C$6*D$13)*Inputs!$C$22+((Inputs!$C$13*(1+Inputs!$C$20)*Inputs!$C$12)+Inputs!$C$10-Inputs!$C$11)*Inputs!$C$23)-(Inputs!$C$6*D$13)-'Sources &amp; Uses'!$C$23))^(1/5)-1</f>
        <v>0.122392452768215</v>
      </c>
      <c r="E15" s="38" t="n">
        <f aca="false">((Model!H9*$B15-('Debt Schedule'!H12+(Inputs!$C$6*E$13)-'Sources &amp; Uses'!$C$15))/(((Inputs!$C$13*(1+Inputs!$C$20)*Inputs!$C$12)+Inputs!$C$10+(Inputs!$C$6*E$13)*Inputs!$C$22+((Inputs!$C$13*(1+Inputs!$C$20)*Inputs!$C$12)+Inputs!$C$10-Inputs!$C$11)*Inputs!$C$23)-(Inputs!$C$6*E$13)-'Sources &amp; Uses'!$C$23))^(1/5)-1</f>
        <v>0.132309850460929</v>
      </c>
      <c r="F15" s="38" t="n">
        <f aca="false">((Model!H9*$B15-('Debt Schedule'!H12+(Inputs!$C$6*F$13)-'Sources &amp; Uses'!$C$15))/(((Inputs!$C$13*(1+Inputs!$C$20)*Inputs!$C$12)+Inputs!$C$10+(Inputs!$C$6*F$13)*Inputs!$C$22+((Inputs!$C$13*(1+Inputs!$C$20)*Inputs!$C$12)+Inputs!$C$10-Inputs!$C$11)*Inputs!$C$23)-(Inputs!$C$6*F$13)-'Sources &amp; Uses'!$C$23))^(1/5)-1</f>
        <v>0.144100230578214</v>
      </c>
      <c r="G15" s="38" t="n">
        <f aca="false">((Model!H9*$B15-('Debt Schedule'!H12+(Inputs!$C$6*G$13)-'Sources &amp; Uses'!$C$15))/(((Inputs!$C$13*(1+Inputs!$C$20)*Inputs!$C$12)+Inputs!$C$10+(Inputs!$C$6*G$13)*Inputs!$C$22+((Inputs!$C$13*(1+Inputs!$C$20)*Inputs!$C$12)+Inputs!$C$10-Inputs!$C$11)*Inputs!$C$23)-(Inputs!$C$6*G$13)-'Sources &amp; Uses'!$C$23))^(1/5)-1</f>
        <v>0.158370105036628</v>
      </c>
    </row>
    <row r="16" customFormat="false" ht="15" hidden="false" customHeight="false" outlineLevel="0" collapsed="false">
      <c r="B16" s="47" t="n">
        <v>9</v>
      </c>
      <c r="C16" s="38" t="n">
        <f aca="false">((Model!H9*$B16-('Debt Schedule'!H12+(Inputs!$C$6*C$13)-'Sources &amp; Uses'!$C$15))/(((Inputs!$C$13*(1+Inputs!$C$20)*Inputs!$C$12)+Inputs!$C$10+(Inputs!$C$6*C$13)*Inputs!$C$22+((Inputs!$C$13*(1+Inputs!$C$20)*Inputs!$C$12)+Inputs!$C$10-Inputs!$C$11)*Inputs!$C$23)-(Inputs!$C$6*C$13)-'Sources &amp; Uses'!$C$23))^(1/5)-1</f>
        <v>0.128604798175305</v>
      </c>
      <c r="D16" s="38" t="n">
        <f aca="false">((Model!H9*$B16-('Debt Schedule'!H12+(Inputs!$C$6*D$13)-'Sources &amp; Uses'!$C$15))/(((Inputs!$C$13*(1+Inputs!$C$20)*Inputs!$C$12)+Inputs!$C$10+(Inputs!$C$6*D$13)*Inputs!$C$22+((Inputs!$C$13*(1+Inputs!$C$20)*Inputs!$C$12)+Inputs!$C$10-Inputs!$C$11)*Inputs!$C$23)-(Inputs!$C$6*D$13)-'Sources &amp; Uses'!$C$23))^(1/5)-1</f>
        <v>0.137966749129846</v>
      </c>
      <c r="E16" s="48" t="n">
        <f aca="false">((Model!H9*$B16-('Debt Schedule'!H12+(Inputs!$C$6*E$13)-'Sources &amp; Uses'!$C$15))/(((Inputs!$C$13*(1+Inputs!$C$20)*Inputs!$C$12)+Inputs!$C$10+(Inputs!$C$6*E$13)*Inputs!$C$22+((Inputs!$C$13*(1+Inputs!$C$20)*Inputs!$C$12)+Inputs!$C$10-Inputs!$C$11)*Inputs!$C$23)-(Inputs!$C$6*E$13)-'Sources &amp; Uses'!$C$23))^(1/5)-1</f>
        <v>0.148902713046399</v>
      </c>
      <c r="F16" s="38" t="n">
        <f aca="false">((Model!H9*$B16-('Debt Schedule'!H12+(Inputs!$C$6*F$13)-'Sources &amp; Uses'!$C$15))/(((Inputs!$C$13*(1+Inputs!$C$20)*Inputs!$C$12)+Inputs!$C$10+(Inputs!$C$6*F$13)*Inputs!$C$22+((Inputs!$C$13*(1+Inputs!$C$20)*Inputs!$C$12)+Inputs!$C$10-Inputs!$C$11)*Inputs!$C$23)-(Inputs!$C$6*F$13)-'Sources &amp; Uses'!$C$23))^(1/5)-1</f>
        <v>0.161861791056054</v>
      </c>
      <c r="G16" s="38" t="n">
        <f aca="false">((Model!H9*$B16-('Debt Schedule'!H12+(Inputs!$C$6*G$13)-'Sources &amp; Uses'!$C$15))/(((Inputs!$C$13*(1+Inputs!$C$20)*Inputs!$C$12)+Inputs!$C$10+(Inputs!$C$6*G$13)*Inputs!$C$22+((Inputs!$C$13*(1+Inputs!$C$20)*Inputs!$C$12)+Inputs!$C$10-Inputs!$C$11)*Inputs!$C$23)-(Inputs!$C$6*G$13)-'Sources &amp; Uses'!$C$23))^(1/5)-1</f>
        <v>0.177488971087737</v>
      </c>
    </row>
    <row r="17" customFormat="false" ht="15" hidden="false" customHeight="false" outlineLevel="0" collapsed="false">
      <c r="B17" s="47" t="n">
        <v>9.5</v>
      </c>
      <c r="C17" s="38" t="n">
        <f aca="false">((Model!H9*$B17-('Debt Schedule'!H12+(Inputs!$C$6*C$13)-'Sources &amp; Uses'!$C$15))/(((Inputs!$C$13*(1+Inputs!$C$20)*Inputs!$C$12)+Inputs!$C$10+(Inputs!$C$6*C$13)*Inputs!$C$22+((Inputs!$C$13*(1+Inputs!$C$20)*Inputs!$C$12)+Inputs!$C$10-Inputs!$C$11)*Inputs!$C$23)-(Inputs!$C$6*C$13)-'Sources &amp; Uses'!$C$23))^(1/5)-1</f>
        <v>0.142556339756358</v>
      </c>
      <c r="D17" s="38" t="n">
        <f aca="false">((Model!H9*$B17-('Debt Schedule'!H12+(Inputs!$C$6*D$13)-'Sources &amp; Uses'!$C$15))/(((Inputs!$C$13*(1+Inputs!$C$20)*Inputs!$C$12)+Inputs!$C$10+(Inputs!$C$6*D$13)*Inputs!$C$22+((Inputs!$C$13*(1+Inputs!$C$20)*Inputs!$C$12)+Inputs!$C$10-Inputs!$C$11)*Inputs!$C$23)-(Inputs!$C$6*D$13)-'Sources &amp; Uses'!$C$23))^(1/5)-1</f>
        <v>0.152732353828907</v>
      </c>
      <c r="E17" s="38" t="n">
        <f aca="false">((Model!H9*$B17-('Debt Schedule'!H12+(Inputs!$C$6*E$13)-'Sources &amp; Uses'!$C$15))/(((Inputs!$C$13*(1+Inputs!$C$20)*Inputs!$C$12)+Inputs!$C$10+(Inputs!$C$6*E$13)*Inputs!$C$22+((Inputs!$C$13*(1+Inputs!$C$20)*Inputs!$C$12)+Inputs!$C$10-Inputs!$C$11)*Inputs!$C$23)-(Inputs!$C$6*E$13)-'Sources &amp; Uses'!$C$23))^(1/5)-1</f>
        <v>0.164588944071828</v>
      </c>
      <c r="F17" s="38" t="n">
        <f aca="false">((Model!H9*$B17-('Debt Schedule'!H12+(Inputs!$C$6*F$13)-'Sources &amp; Uses'!$C$15))/(((Inputs!$C$13*(1+Inputs!$C$20)*Inputs!$C$12)+Inputs!$C$10+(Inputs!$C$6*F$13)*Inputs!$C$22+((Inputs!$C$13*(1+Inputs!$C$20)*Inputs!$C$12)+Inputs!$C$10-Inputs!$C$11)*Inputs!$C$23)-(Inputs!$C$6*F$13)-'Sources &amp; Uses'!$C$23))^(1/5)-1</f>
        <v>0.178599311427106</v>
      </c>
      <c r="G17" s="38" t="n">
        <f aca="false">((Model!H9*$B17-('Debt Schedule'!H12+(Inputs!$C$6*G$13)-'Sources &amp; Uses'!$C$15))/(((Inputs!$C$13*(1+Inputs!$C$20)*Inputs!$C$12)+Inputs!$C$10+(Inputs!$C$6*G$13)*Inputs!$C$22+((Inputs!$C$13*(1+Inputs!$C$20)*Inputs!$C$12)+Inputs!$C$10-Inputs!$C$11)*Inputs!$C$23)-(Inputs!$C$6*G$13)-'Sources &amp; Uses'!$C$23))^(1/5)-1</f>
        <v>0.195441157726944</v>
      </c>
    </row>
    <row r="18" customFormat="false" ht="15" hidden="false" customHeight="false" outlineLevel="0" collapsed="false">
      <c r="B18" s="47" t="n">
        <v>10</v>
      </c>
      <c r="C18" s="38" t="n">
        <f aca="false">((Model!H9*$B18-('Debt Schedule'!H12+(Inputs!$C$6*C$13)-'Sources &amp; Uses'!$C$15))/(((Inputs!$C$13*(1+Inputs!$C$20)*Inputs!$C$12)+Inputs!$C$10+(Inputs!$C$6*C$13)*Inputs!$C$22+((Inputs!$C$13*(1+Inputs!$C$20)*Inputs!$C$12)+Inputs!$C$10-Inputs!$C$11)*Inputs!$C$23)-(Inputs!$C$6*C$13)-'Sources &amp; Uses'!$C$23))^(1/5)-1</f>
        <v>0.155857956143548</v>
      </c>
      <c r="D18" s="38" t="n">
        <f aca="false">((Model!H9*$B18-('Debt Schedule'!H12+(Inputs!$C$6*D$13)-'Sources &amp; Uses'!$C$15))/(((Inputs!$C$13*(1+Inputs!$C$20)*Inputs!$C$12)+Inputs!$C$10+(Inputs!$C$6*D$13)*Inputs!$C$22+((Inputs!$C$13*(1+Inputs!$C$20)*Inputs!$C$12)+Inputs!$C$10-Inputs!$C$11)*Inputs!$C$23)-(Inputs!$C$6*D$13)-'Sources &amp; Uses'!$C$23))^(1/5)-1</f>
        <v>0.166778021290512</v>
      </c>
      <c r="E18" s="38" t="n">
        <f aca="false">((Model!H9*$B18-('Debt Schedule'!H12+(Inputs!$C$6*E$13)-'Sources &amp; Uses'!$C$15))/(((Inputs!$C$13*(1+Inputs!$C$20)*Inputs!$C$12)+Inputs!$C$10+(Inputs!$C$6*E$13)*Inputs!$C$22+((Inputs!$C$13*(1+Inputs!$C$20)*Inputs!$C$12)+Inputs!$C$10-Inputs!$C$11)*Inputs!$C$23)-(Inputs!$C$6*E$13)-'Sources &amp; Uses'!$C$23))^(1/5)-1</f>
        <v>0.179472921095217</v>
      </c>
      <c r="F18" s="38" t="n">
        <f aca="false">((Model!H9*$B18-('Debt Schedule'!H12+(Inputs!$C$6*F$13)-'Sources &amp; Uses'!$C$15))/(((Inputs!$C$13*(1+Inputs!$C$20)*Inputs!$C$12)+Inputs!$C$10+(Inputs!$C$6*F$13)*Inputs!$C$22+((Inputs!$C$13*(1+Inputs!$C$20)*Inputs!$C$12)+Inputs!$C$10-Inputs!$C$11)*Inputs!$C$23)-(Inputs!$C$6*F$13)-'Sources &amp; Uses'!$C$23))^(1/5)-1</f>
        <v>0.194436759495639</v>
      </c>
      <c r="G18" s="38" t="n">
        <f aca="false">((Model!H9*$B18-('Debt Schedule'!H12+(Inputs!$C$6*G$13)-'Sources &amp; Uses'!$C$15))/(((Inputs!$C$13*(1+Inputs!$C$20)*Inputs!$C$12)+Inputs!$C$10+(Inputs!$C$6*G$13)*Inputs!$C$22+((Inputs!$C$13*(1+Inputs!$C$20)*Inputs!$C$12)+Inputs!$C$10-Inputs!$C$11)*Inputs!$C$23)-(Inputs!$C$6*G$13)-'Sources &amp; Uses'!$C$23))^(1/5)-1</f>
        <v>0.212375572591096</v>
      </c>
    </row>
    <row r="20" customFormat="false" ht="33.75" hidden="false" customHeight="true" outlineLevel="0" collapsed="false">
      <c r="B20" s="20" t="s">
        <v>181</v>
      </c>
      <c r="C20" s="20"/>
      <c r="D20" s="20"/>
      <c r="E20" s="20"/>
      <c r="F20" s="20"/>
      <c r="G20" s="20"/>
      <c r="H20" s="20"/>
    </row>
  </sheetData>
  <mergeCells count="1">
    <mergeCell ref="B20:H2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&amp;L&amp;"Arial,Bold"&amp;8Cognizant Technology Solutions — Leveraged Buyout — Debt Schedule and Returns&amp;R&amp;"Arial,Regular"&amp;8Sensitivity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6"/>
    <col collapsed="false" customWidth="true" hidden="false" outlineLevel="0" max="5" min="3" style="0" width="14"/>
    <col collapsed="false" customWidth="true" hidden="false" outlineLevel="0" max="6" min="6" style="0" width="54"/>
  </cols>
  <sheetData>
    <row r="1" customFormat="false" ht="30" hidden="false" customHeight="true" outlineLevel="0" collapsed="false">
      <c r="A1" s="1"/>
      <c r="B1" s="22" t="s">
        <v>40</v>
      </c>
      <c r="C1" s="1"/>
      <c r="D1" s="1"/>
      <c r="E1" s="1"/>
      <c r="F1" s="23" t="s">
        <v>41</v>
      </c>
    </row>
    <row r="2" customFormat="false" ht="18" hidden="false" customHeight="true" outlineLevel="0" collapsed="false">
      <c r="A2" s="1"/>
      <c r="B2" s="24" t="s">
        <v>182</v>
      </c>
      <c r="C2" s="1"/>
      <c r="D2" s="1"/>
      <c r="E2" s="1"/>
      <c r="F2" s="1"/>
    </row>
    <row r="4" customFormat="false" ht="15.75" hidden="false" customHeight="true" outlineLevel="0" collapsed="false">
      <c r="B4" s="25" t="s">
        <v>183</v>
      </c>
      <c r="C4" s="1"/>
      <c r="D4" s="1"/>
      <c r="E4" s="1"/>
      <c r="F4" s="1"/>
    </row>
    <row r="5" customFormat="false" ht="15" hidden="false" customHeight="false" outlineLevel="0" collapsed="false">
      <c r="B5" s="21" t="s">
        <v>21</v>
      </c>
      <c r="C5" s="50" t="n">
        <f aca="false">'Sources &amp; Uses'!$C$5</f>
        <v>81.3605</v>
      </c>
    </row>
    <row r="6" customFormat="false" ht="15" hidden="false" customHeight="false" outlineLevel="0" collapsed="false">
      <c r="B6" s="21" t="s">
        <v>184</v>
      </c>
      <c r="C6" s="51" t="n">
        <f aca="false">Inputs!$C$20</f>
        <v>0.3</v>
      </c>
    </row>
    <row r="7" customFormat="false" ht="15" hidden="false" customHeight="false" outlineLevel="0" collapsed="false">
      <c r="B7" s="21" t="s">
        <v>92</v>
      </c>
      <c r="C7" s="36" t="n">
        <f aca="false">'Sources &amp; Uses'!$C$7</f>
        <v>38954.924</v>
      </c>
    </row>
    <row r="8" customFormat="false" ht="15" hidden="false" customHeight="false" outlineLevel="0" collapsed="false">
      <c r="B8" s="34" t="s">
        <v>22</v>
      </c>
      <c r="C8" s="43" t="n">
        <f aca="false">'Sources &amp; Uses'!$C$8</f>
        <v>9.58065027053615</v>
      </c>
    </row>
    <row r="9" customFormat="false" ht="15" hidden="false" customHeight="false" outlineLevel="0" collapsed="false">
      <c r="B9" s="21" t="s">
        <v>185</v>
      </c>
      <c r="C9" s="43" t="n">
        <f aca="false">'Sources &amp; Uses'!$C$27</f>
        <v>5.25</v>
      </c>
    </row>
    <row r="10" customFormat="false" ht="15" hidden="false" customHeight="false" outlineLevel="0" collapsed="false">
      <c r="B10" s="34" t="s">
        <v>186</v>
      </c>
      <c r="C10" s="36" t="n">
        <f aca="false">'Sources &amp; Uses'!$C$24</f>
        <v>18924.90324</v>
      </c>
    </row>
    <row r="12" customFormat="false" ht="15.75" hidden="false" customHeight="true" outlineLevel="0" collapsed="false">
      <c r="B12" s="25" t="s">
        <v>187</v>
      </c>
      <c r="C12" s="1"/>
      <c r="D12" s="1"/>
      <c r="E12" s="1"/>
      <c r="F12" s="1"/>
    </row>
    <row r="13" customFormat="false" ht="15" hidden="false" customHeight="false" outlineLevel="0" collapsed="false">
      <c r="B13" s="21" t="s">
        <v>188</v>
      </c>
      <c r="C13" s="43" t="n">
        <f aca="false">Inputs!$C$40</f>
        <v>9</v>
      </c>
    </row>
    <row r="14" customFormat="false" ht="15" hidden="false" customHeight="false" outlineLevel="0" collapsed="false">
      <c r="B14" s="34" t="s">
        <v>24</v>
      </c>
      <c r="C14" s="43" t="n">
        <f aca="false">Returns!$C$12</f>
        <v>2.00177967325927</v>
      </c>
    </row>
    <row r="15" customFormat="false" ht="15" hidden="false" customHeight="false" outlineLevel="0" collapsed="false">
      <c r="B15" s="34" t="s">
        <v>25</v>
      </c>
      <c r="C15" s="51" t="n">
        <f aca="false">Returns!$C$13</f>
        <v>0.148902713046399</v>
      </c>
    </row>
    <row r="16" customFormat="false" ht="15" hidden="false" customHeight="false" outlineLevel="0" collapsed="false">
      <c r="B16" s="34" t="s">
        <v>189</v>
      </c>
      <c r="C16" s="52" t="n">
        <f aca="false">Returns!$C$14</f>
        <v>-5.10972869536013</v>
      </c>
    </row>
    <row r="18" customFormat="false" ht="15.75" hidden="false" customHeight="true" outlineLevel="0" collapsed="false">
      <c r="B18" s="25" t="s">
        <v>190</v>
      </c>
      <c r="C18" s="1"/>
      <c r="D18" s="1"/>
      <c r="E18" s="1"/>
      <c r="F18" s="1"/>
    </row>
    <row r="19" customFormat="false" ht="15" hidden="false" customHeight="false" outlineLevel="0" collapsed="false">
      <c r="B19" s="34" t="s">
        <v>191</v>
      </c>
      <c r="C19" s="50" t="n">
        <f aca="false">Returns!$C$25</f>
        <v>73.7777548853767</v>
      </c>
    </row>
    <row r="20" customFormat="false" ht="15" hidden="false" customHeight="false" outlineLevel="0" collapsed="false">
      <c r="B20" s="34" t="s">
        <v>192</v>
      </c>
      <c r="C20" s="51" t="n">
        <f aca="false">Returns!$C$26</f>
        <v>0.178840854603766</v>
      </c>
    </row>
    <row r="21" customFormat="false" ht="15" hidden="false" customHeight="false" outlineLevel="0" collapsed="false">
      <c r="B21" s="21" t="s">
        <v>193</v>
      </c>
      <c r="C21" s="50" t="n">
        <f aca="false">Inputs!$C$13</f>
        <v>62.585</v>
      </c>
    </row>
    <row r="23" customFormat="false" ht="30" hidden="false" customHeight="true" outlineLevel="0" collapsed="false">
      <c r="B23" s="20" t="s">
        <v>194</v>
      </c>
      <c r="C23" s="20"/>
      <c r="D23" s="20"/>
      <c r="E23" s="20"/>
      <c r="F23" s="20"/>
    </row>
    <row r="24" customFormat="false" ht="45" hidden="false" customHeight="true" outlineLevel="0" collapsed="false">
      <c r="B24" s="20" t="s">
        <v>195</v>
      </c>
      <c r="C24" s="20"/>
      <c r="D24" s="20"/>
      <c r="E24" s="20"/>
      <c r="F24" s="20"/>
    </row>
    <row r="25" customFormat="false" ht="45" hidden="false" customHeight="true" outlineLevel="0" collapsed="false">
      <c r="B25" s="20" t="s">
        <v>196</v>
      </c>
      <c r="C25" s="20"/>
      <c r="D25" s="20"/>
      <c r="E25" s="20"/>
      <c r="F25" s="20"/>
    </row>
    <row r="26" customFormat="false" ht="30" hidden="false" customHeight="true" outlineLevel="0" collapsed="false">
      <c r="B26" s="20" t="s">
        <v>197</v>
      </c>
      <c r="C26" s="20"/>
      <c r="D26" s="20"/>
      <c r="E26" s="20"/>
      <c r="F26" s="20"/>
    </row>
  </sheetData>
  <mergeCells count="4">
    <mergeCell ref="B23:F23"/>
    <mergeCell ref="B24:F24"/>
    <mergeCell ref="B25:F25"/>
    <mergeCell ref="B26:F26"/>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&amp;L&amp;"Arial,Bold"&amp;8Cognizant Technology Solutions — Leveraged Buyout — Debt Schedule and Returns&amp;R&amp;"Arial,Regular"&amp;8Summary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2"/>
    <col collapsed="false" customWidth="true" hidden="false" outlineLevel="0" max="5" min="3" style="0" width="16"/>
  </cols>
  <sheetData>
    <row r="1" customFormat="false" ht="30" hidden="false" customHeight="true" outlineLevel="0" collapsed="false">
      <c r="A1" s="1"/>
      <c r="B1" s="22" t="s">
        <v>40</v>
      </c>
      <c r="C1" s="1"/>
      <c r="D1" s="1"/>
      <c r="E1" s="23" t="s">
        <v>41</v>
      </c>
    </row>
    <row r="2" customFormat="false" ht="18" hidden="false" customHeight="true" outlineLevel="0" collapsed="false">
      <c r="A2" s="1"/>
      <c r="B2" s="24" t="s">
        <v>198</v>
      </c>
      <c r="C2" s="1"/>
      <c r="D2" s="1"/>
      <c r="E2" s="1"/>
    </row>
    <row r="4" customFormat="false" ht="15.75" hidden="false" customHeight="true" outlineLevel="0" collapsed="false">
      <c r="B4" s="25" t="s">
        <v>199</v>
      </c>
      <c r="C4" s="1"/>
      <c r="D4" s="1"/>
      <c r="E4" s="1"/>
    </row>
    <row r="5" customFormat="false" ht="15" hidden="false" customHeight="false" outlineLevel="0" collapsed="false">
      <c r="B5" s="21" t="s">
        <v>200</v>
      </c>
      <c r="C5" s="53" t="b">
        <f aca="false">ABS('Sources &amp; Uses'!$C$25-'Sources &amp; Uses'!$C$18)&lt;0.01</f>
        <v>1</v>
      </c>
    </row>
    <row r="6" customFormat="false" ht="15" hidden="false" customHeight="false" outlineLevel="0" collapsed="false">
      <c r="B6" s="21" t="s">
        <v>201</v>
      </c>
      <c r="C6" s="53" t="b">
        <f aca="false">'Sources &amp; Uses'!$C$24&gt;0</f>
        <v>1</v>
      </c>
    </row>
    <row r="7" customFormat="false" ht="15" hidden="false" customHeight="false" outlineLevel="0" collapsed="false">
      <c r="B7" s="21" t="s">
        <v>202</v>
      </c>
      <c r="C7" s="53" t="b">
        <f aca="false">ABS('Sources &amp; Uses'!$C$27-(Inputs!$C$27+Inputs!$C$28))&lt;0.001</f>
        <v>1</v>
      </c>
    </row>
    <row r="8" customFormat="false" ht="15" hidden="false" customHeight="false" outlineLevel="0" collapsed="false">
      <c r="B8" s="21" t="s">
        <v>203</v>
      </c>
      <c r="C8" s="53" t="b">
        <f aca="false">MIN('Debt Schedule'!D9:H9)&gt;=-0.01</f>
        <v>1</v>
      </c>
    </row>
    <row r="9" customFormat="false" ht="15" hidden="false" customHeight="false" outlineLevel="0" collapsed="false">
      <c r="B9" s="21" t="s">
        <v>204</v>
      </c>
      <c r="C9" s="53" t="b">
        <f aca="false">ABS('Debt Schedule'!H9-('Debt Schedule'!H6+'Debt Schedule'!H7+'Debt Schedule'!H8))&lt;0.01</f>
        <v>1</v>
      </c>
    </row>
    <row r="10" customFormat="false" ht="15" hidden="false" customHeight="false" outlineLevel="0" collapsed="false">
      <c r="B10" s="21" t="s">
        <v>205</v>
      </c>
      <c r="C10" s="53" t="b">
        <f aca="false">'Debt Schedule'!H12&lt;'Debt Schedule'!C12</f>
        <v>1</v>
      </c>
    </row>
    <row r="11" customFormat="false" ht="15" hidden="false" customHeight="false" outlineLevel="0" collapsed="false">
      <c r="B11" s="21" t="s">
        <v>206</v>
      </c>
      <c r="C11" s="53" t="b">
        <f aca="false">MIN('Debt Schedule'!D29:H29)&gt;0</f>
        <v>1</v>
      </c>
    </row>
    <row r="12" customFormat="false" ht="15" hidden="false" customHeight="false" outlineLevel="0" collapsed="false">
      <c r="B12" s="21" t="s">
        <v>207</v>
      </c>
      <c r="C12" s="53" t="b">
        <f aca="false">MIN('Debt Schedule'!D33:H33)&gt;1.5</f>
        <v>1</v>
      </c>
    </row>
    <row r="13" customFormat="false" ht="15" hidden="false" customHeight="false" outlineLevel="0" collapsed="false">
      <c r="B13" s="21" t="s">
        <v>208</v>
      </c>
      <c r="C13" s="53" t="b">
        <f aca="false">AND('Debt Schedule'!H32&lt;'Debt Schedule'!D32)</f>
        <v>1</v>
      </c>
    </row>
    <row r="14" customFormat="false" ht="15" hidden="false" customHeight="false" outlineLevel="0" collapsed="false">
      <c r="B14" s="21" t="s">
        <v>209</v>
      </c>
      <c r="C14" s="53" t="b">
        <f aca="false">ABS(Returns!$C$9-(Returns!$C$7+Returns!$C$8))&lt;0.01</f>
        <v>1</v>
      </c>
    </row>
    <row r="15" customFormat="false" ht="15" hidden="false" customHeight="false" outlineLevel="0" collapsed="false">
      <c r="B15" s="21" t="s">
        <v>210</v>
      </c>
      <c r="C15" s="53" t="b">
        <f aca="false">ABS((1+Returns!$C$13)^5-Returns!$C$12)&lt;0.0001</f>
        <v>1</v>
      </c>
    </row>
    <row r="16" customFormat="false" ht="15" hidden="false" customHeight="false" outlineLevel="0" collapsed="false">
      <c r="B16" s="21" t="s">
        <v>211</v>
      </c>
      <c r="C16" s="53" t="b">
        <f aca="false">Inputs!$C$40&lt;='Sources &amp; Uses'!$C$8</f>
        <v>1</v>
      </c>
    </row>
    <row r="17" customFormat="false" ht="15" hidden="false" customHeight="false" outlineLevel="0" collapsed="false">
      <c r="B17" s="21" t="s">
        <v>212</v>
      </c>
      <c r="C17" s="53" t="b">
        <f aca="false">IF(Returns!$C$13&lt;Inputs!$C$41,Returns!$C$25&lt;'Sources &amp; Uses'!$C$5,TRUE())</f>
        <v>1</v>
      </c>
    </row>
    <row r="18" customFormat="false" ht="15" hidden="false" customHeight="false" outlineLevel="0" collapsed="false">
      <c r="B18" s="21" t="s">
        <v>213</v>
      </c>
      <c r="C18" s="53" t="b">
        <f aca="false">ABS(Sensitivity!E8-Returns!$C$13)&lt;0.002</f>
        <v>1</v>
      </c>
    </row>
    <row r="19" customFormat="false" ht="15" hidden="false" customHeight="false" outlineLevel="0" collapsed="false">
      <c r="B19" s="21" t="s">
        <v>214</v>
      </c>
      <c r="C19" s="53" t="b">
        <f aca="false">'Sources &amp; Uses'!$C$8&gt;Inputs!$C$17</f>
        <v>1</v>
      </c>
    </row>
    <row r="20" customFormat="false" ht="15" hidden="false" customHeight="false" outlineLevel="0" collapsed="false">
      <c r="B20" s="21" t="s">
        <v>215</v>
      </c>
      <c r="C20" s="53" t="b">
        <f aca="false">AND(ABS(Inputs!$C$6-4066)&lt;1,ABS(Inputs!$C$5-21108)&lt;1,ABS(Inputs!$C$12-488)&lt;1)</f>
        <v>1</v>
      </c>
    </row>
    <row r="22" customFormat="false" ht="15" hidden="false" customHeight="false" outlineLevel="0" collapsed="false">
      <c r="B22" s="54" t="s">
        <v>216</v>
      </c>
      <c r="C22" s="55" t="str">
        <f aca="false">IF(COUNTIF(C5:C20,FALSE())=0,"MODEL OK","CHECK FAILED")</f>
        <v>MODEL OK</v>
      </c>
    </row>
    <row r="24" customFormat="false" ht="33.75" hidden="false" customHeight="true" outlineLevel="0" collapsed="false">
      <c r="B24" s="20" t="s">
        <v>217</v>
      </c>
      <c r="C24" s="20"/>
      <c r="D24" s="20"/>
      <c r="E24" s="20"/>
    </row>
  </sheetData>
  <mergeCells count="1">
    <mergeCell ref="B24:E2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&amp;L&amp;"Arial,Bold"&amp;8Cognizant Technology Solutions — Leveraged Buyout — Debt Schedule and Returns&amp;R&amp;"Arial,Regular"&amp;8Checks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2026-09-14T14:35:30Z</dcterms:created>
  <dc:creator>openpyxl</dc:creator>
  <dc:description/>
  <dc:language>en-US</dc:language>
  <cp:lastModifiedBy/>
  <dcterms:modified xsi:type="dcterms:W3CDTF">2026-09-14T14:35:30Z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