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Financials" sheetId="2" state="visible" r:id="rId4"/>
    <sheet name="Profile" sheetId="3" state="visible" r:id="rId5"/>
    <sheet name="Trading" sheetId="4" state="visible" r:id="rId6"/>
    <sheet name="Buyer Screen" sheetId="5" state="visible" r:id="rId7"/>
    <sheet name="Ability to Pay" sheetId="6" state="visible" r:id="rId8"/>
    <sheet name="Checks" sheetId="7" state="visible" r:id="rId9"/>
  </sheets>
  <definedNames>
    <definedName function="false" hidden="false" localSheetId="5" name="_xlnm.Print_Area" vbProcedure="false">'Ability to Pay'!$A$1:$F$46</definedName>
    <definedName function="false" hidden="false" localSheetId="4" name="_xlnm.Print_Area" vbProcedure="false">'Buyer Screen'!$A$1:$M$25</definedName>
    <definedName function="false" hidden="false" localSheetId="6" name="_xlnm.Print_Area" vbProcedure="false">Checks!$A$1:$E$22</definedName>
    <definedName function="false" hidden="false" localSheetId="0" name="_xlnm.Print_Area" vbProcedure="false">Cover!$A$1:$F$45</definedName>
    <definedName function="false" hidden="false" localSheetId="1" name="_xlnm.Print_Area" vbProcedure="false">Financials!$A$1:$G$32</definedName>
    <definedName function="false" hidden="false" localSheetId="2" name="_xlnm.Print_Area" vbProcedure="false">Profile!$A$1:$F$22</definedName>
    <definedName function="false" hidden="false" localSheetId="3" name="_xlnm.Print_Area" vbProcedure="false">Trading!$A$1:$G$27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<sst xmlns="http://schemas.openxmlformats.org/spreadsheetml/2006/main" count="288" uniqueCount="262">
  <si>
    <t xml:space="preserve">IB PORTFOLIO · PROJECT 15 OF 20</t>
  </si>
  <si>
    <t xml:space="preserve">Salik</t>
  </si>
  <si>
    <t xml:space="preserve">Company Profile and Buyer Screen</t>
  </si>
  <si>
    <t xml:space="preserve">DFM: SALIK   ·   AED millions · per-share values in AED   ·   as of FY2025 accounts · market data 18 Sep 2026</t>
  </si>
  <si>
    <t xml:space="preserve">What this is</t>
  </si>
  <si>
    <t xml:space="preserve">A company profile and buyer screen for Salik, Dubai's toll-gate operator, on FY2025 accounts and 18 September 2026 market data: what the business is, how it has performed since the 2022 IPO, where it trades against listed toll roads, who could realistically own a stake, and what a financial sponsor and a strategic operator could each pay.</t>
  </si>
  <si>
    <t xml:space="preserve">How it is built</t>
  </si>
  <si>
    <t xml:space="preserve">•  Four years of income, cash flow and balance sheet with growth, margins, cash conversion and leverage.</t>
  </si>
  <si>
    <t xml:space="preserve">•  Trading multiples against a short, stated peer set with exclusions explained.</t>
  </si>
  <si>
    <t xml:space="preserve">•  Twelve candidate buyers scored 1–5 on strategic fit, toll-road precedent, financial capacity, regional presence and the likelihood of Government of Dubai consent; weights are inputs and the ranking is live.</t>
  </si>
  <si>
    <t xml:space="preserve">•  Ability to pay: a sponsor constrained by 6x leverage, a five-year exit and a 13% hurdle; a strategic constrained by a 7% cost of capital over the 45 years left on the concession.</t>
  </si>
  <si>
    <t xml:space="preserve">Contents</t>
  </si>
  <si>
    <t xml:space="preserve">Profile  —  the business, the case for a buyer, the constraint</t>
  </si>
  <si>
    <t xml:space="preserve">Financials  —  FY2022–FY2025 income, cash, balance sheet</t>
  </si>
  <si>
    <t xml:space="preserve">Trading  —  multiples at the market price and against peers</t>
  </si>
  <si>
    <t xml:space="preserve">Buyer Screen  —  twelve candidates, five criteria, live ranking</t>
  </si>
  <si>
    <t xml:space="preserve">Ability to Pay  —  sponsor versus strategic, price per share</t>
  </si>
  <si>
    <t xml:space="preserve">Checks  —  fourteen tests; must read MODEL OK</t>
  </si>
  <si>
    <t xml:space="preserve">Key outputs (live)</t>
  </si>
  <si>
    <t xml:space="preserve">FY2025 EBITDA (AED m)</t>
  </si>
  <si>
    <t xml:space="preserve">EV / EBITDA at the market price</t>
  </si>
  <si>
    <t xml:space="preserve">Price return since the IPO</t>
  </si>
  <si>
    <t xml:space="preserve">Highest-scoring candidate</t>
  </si>
  <si>
    <t xml:space="preserve">Sponsor ability to pay (AED per share)</t>
  </si>
  <si>
    <t xml:space="preserve">Strategic ability to pay (AED per share)</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</si>
  <si>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</si>
  <si>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</si>
  <si>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</si>
  <si>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</si>
  <si>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</si>
  <si>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</si>
  <si>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Salik Company PJSC financial statements FY2022–FY2025 via Yahoo Finance for SALIK.AE; concession terms, gates and tariff from the 2022 IPO prospectus and RTA announcements.</t>
  </si>
  <si>
    <t xml:space="preserve">Share price and 52-week range: DFM close, 18 September 2026. Peer multiples: Yahoo Finance the same day.</t>
  </si>
  <si>
    <t xml:space="preserve">Buyer scores are the author's judgements from public precedent; criteria weights and every ability-to-pay input are stated.</t>
  </si>
  <si>
    <t xml:space="preserve">Nothing here is a recommendation and there is no suggestion any party is or has been in discussions.</t>
  </si>
  <si>
    <t xml:space="preserve">Prepared by</t>
  </si>
  <si>
    <t xml:space="preserve">Jainam Mehta · github.com/jainammehta1215/ib-portfolio</t>
  </si>
  <si>
    <t xml:space="preserve">Salik — Company Profile and Buyer Screen</t>
  </si>
  <si>
    <t xml:space="preserve">SALIK</t>
  </si>
  <si>
    <t xml:space="preserve">Four years since the IPO — income, cash and balance sheet</t>
  </si>
  <si>
    <t xml:space="preserve">INCOME STATEMENT (AED millions)</t>
  </si>
  <si>
    <t xml:space="preserve">FY2022A</t>
  </si>
  <si>
    <t xml:space="preserve">FY2023A</t>
  </si>
  <si>
    <t xml:space="preserve">FY2024A</t>
  </si>
  <si>
    <t xml:space="preserve">FY2025A</t>
  </si>
  <si>
    <t xml:space="preserve">Revenue</t>
  </si>
  <si>
    <t xml:space="preserve">   Growth</t>
  </si>
  <si>
    <t xml:space="preserve">EBITDA</t>
  </si>
  <si>
    <t xml:space="preserve">   EBITDA margin</t>
  </si>
  <si>
    <t xml:space="preserve">Depreciation and amortisation</t>
  </si>
  <si>
    <t xml:space="preserve">Net finance cost</t>
  </si>
  <si>
    <t xml:space="preserve">Corporate tax</t>
  </si>
  <si>
    <t xml:space="preserve">Net profit</t>
  </si>
  <si>
    <t xml:space="preserve">   check: EBITDA − D&amp;A − finance − tax</t>
  </si>
  <si>
    <t xml:space="preserve">Earnings per share (AED)</t>
  </si>
  <si>
    <t xml:space="preserve">CASH FLOW AND DISTRIBUTION</t>
  </si>
  <si>
    <t xml:space="preserve">Cash from operations</t>
  </si>
  <si>
    <t xml:space="preserve">Capital expenditure</t>
  </si>
  <si>
    <t xml:space="preserve">Free cash flow</t>
  </si>
  <si>
    <t xml:space="preserve">Dividends paid</t>
  </si>
  <si>
    <t xml:space="preserve">   Dividends paid / prior-year net profit</t>
  </si>
  <si>
    <t xml:space="preserve">   Free cash flow / EBITDA</t>
  </si>
  <si>
    <t xml:space="preserve">BALANCE SHEET</t>
  </si>
  <si>
    <t xml:space="preserve">Borrowings</t>
  </si>
  <si>
    <t xml:space="preserve">Cash</t>
  </si>
  <si>
    <t xml:space="preserve">Net debt</t>
  </si>
  <si>
    <t xml:space="preserve">   Net debt / EBITDA</t>
  </si>
  <si>
    <t xml:space="preserve">   EBITDA / net finance cost</t>
  </si>
  <si>
    <t xml:space="preserve">Shareholders' equity</t>
  </si>
  <si>
    <t xml:space="preserve">The FY2025 step-up is the tariff, not traffic: variable pricing from 31 January 2025 (AED 6 at peak, AED 4 off-peak) and two gates opened in November 2024. Capex is negligible because the RTA builds and operates the gates; Salik's cost is a concession fee inside operating expenses. Equity is small because the company was formed with AED 4bn of debt and pays out all its profit.</t>
  </si>
  <si>
    <t xml:space="preserve">What Salik is, in the form a buyer's investment committee would read it</t>
  </si>
  <si>
    <t xml:space="preserve">THE BUSINESS</t>
  </si>
  <si>
    <t xml:space="preserve">What it does</t>
  </si>
  <si>
    <t xml:space="preserve">Operates Dubai's automated road-toll system under an exclusive 49-year concession from the Roads and Transport Authority running to 2071. Ten gates as of 2025. Tolls are collected electronically per crossing; the tariff is set by government decree.</t>
  </si>
  <si>
    <t xml:space="preserve">Revenue model</t>
  </si>
  <si>
    <t xml:space="preserve">Toll revenue per crossing (the large majority), plus fines, tag activation and ancillary services. Variable pricing was introduced on 31 January 2025: AED 6 at peak hours, AED 4 off-peak, free between 1am and 2am. Ancillary growth comes from parking payments and partnerships.</t>
  </si>
  <si>
    <t xml:space="preserve">Cost model</t>
  </si>
  <si>
    <t xml:space="preserve">Asset-light. The RTA builds, owns and maintains the gates; Salik pays a concession fee and a service fee. There is almost no capital expenditure, so EBITDA converts to cash at close to 100%.</t>
  </si>
  <si>
    <t xml:space="preserve">Ownership</t>
  </si>
  <si>
    <t xml:space="preserve">Listed on the Dubai Financial Market since 29 September 2022 at AED 2.00 per share, raising AED 3.7bn for the Government of Dubai, which retains 75.1%. Free float 24.9%.</t>
  </si>
  <si>
    <t xml:space="preserve">Capital structure</t>
  </si>
  <si>
    <t xml:space="preserve">AED 4.0bn of bank debt put in place at formation and held flat since; the company distributes all of its net profit. Leverage has fallen from 2.2x to 1.6x EBITDA on earnings growth alone.</t>
  </si>
  <si>
    <t xml:space="preserve">WHY A BUYER WOULD LOOK</t>
  </si>
  <si>
    <t xml:space="preserve">Predictability</t>
  </si>
  <si>
    <t xml:space="preserve">Traffic in a growing city, a tariff set by decree and a 45-year remaining term. The revenue line is closer to a regulated utility than to a typical toll road with traffic risk.</t>
  </si>
  <si>
    <t xml:space="preserve">Growth levers</t>
  </si>
  <si>
    <t xml:space="preserve">New gates (two added in 2024), tariff changes (2025), population growth, and ancillary revenue. All three of the first are policy decisions, not management decisions, which is both the attraction and the constraint.</t>
  </si>
  <si>
    <t xml:space="preserve">The constraint</t>
  </si>
  <si>
    <t xml:space="preserve">The Government of Dubai holds 75.1% and the RTA controls the gates, the tariff and the concession. Any change of control is a policy decision. The realistic transactions are a further sell-down of the government's stake, an anchor stake to a long-term investor, or a partnership; an unsolicited bid is not one of them.</t>
  </si>
  <si>
    <t xml:space="preserve">KEY NUMBERS, FY2025</t>
  </si>
  <si>
    <t xml:space="preserve">Revenue (AED m)</t>
  </si>
  <si>
    <t xml:space="preserve">EBITDA (AED m)</t>
  </si>
  <si>
    <t xml:space="preserve">EBITDA margin</t>
  </si>
  <si>
    <t xml:space="preserve">Net profit (AED m)</t>
  </si>
  <si>
    <t xml:space="preserve">Free cash flow / EBITDA</t>
  </si>
  <si>
    <t xml:space="preserve">Net debt / EBITDA</t>
  </si>
  <si>
    <t xml:space="preserve">Where Salik trades, against listed toll roads and a local concession</t>
  </si>
  <si>
    <t xml:space="preserve">SALIK AT THE MARKET PRICE</t>
  </si>
  <si>
    <t xml:space="preserve">Share price (AED, DFM close 18 Sep 2026)</t>
  </si>
  <si>
    <t xml:space="preserve">Shares (millions)</t>
  </si>
  <si>
    <t xml:space="preserve">Market capitalisation</t>
  </si>
  <si>
    <t xml:space="preserve">Net debt, FY2025</t>
  </si>
  <si>
    <t xml:space="preserve">Enterprise value</t>
  </si>
  <si>
    <t xml:space="preserve">EV / EBITDA, FY2025</t>
  </si>
  <si>
    <t xml:space="preserve">P / E, FY2025</t>
  </si>
  <si>
    <t xml:space="preserve">Dividend yield on FY2025 dividends paid</t>
  </si>
  <si>
    <t xml:space="preserve">Free cash flow yield to enterprise value</t>
  </si>
  <si>
    <t xml:space="preserve">Price return since the IPO at AED 2.00</t>
  </si>
  <si>
    <t xml:space="preserve">LISTED COMPARABLES — trailing EV / EBITDA, 18 September 2026</t>
  </si>
  <si>
    <t xml:space="preserve">Company</t>
  </si>
  <si>
    <t xml:space="preserve">Business</t>
  </si>
  <si>
    <t xml:space="preserve">EV / EBITDA</t>
  </si>
  <si>
    <t xml:space="preserve">Included</t>
  </si>
  <si>
    <t xml:space="preserve">If included</t>
  </si>
  <si>
    <t xml:space="preserve">Note</t>
  </si>
  <si>
    <t xml:space="preserve">Transurban (ASX)</t>
  </si>
  <si>
    <t xml:space="preserve">Toll roads, Australia and North America</t>
  </si>
  <si>
    <t xml:space="preserve">Ferrovial (Cintra)</t>
  </si>
  <si>
    <t xml:space="preserve">Toll roads, Europe and North America</t>
  </si>
  <si>
    <t xml:space="preserve">Group multiple distorted by construction and airports</t>
  </si>
  <si>
    <t xml:space="preserve">Vinci</t>
  </si>
  <si>
    <t xml:space="preserve">Concessions and contracting, France</t>
  </si>
  <si>
    <t xml:space="preserve">Contracting dilutes the concession multiple</t>
  </si>
  <si>
    <t xml:space="preserve">IRB Infrastructure (NSE)</t>
  </si>
  <si>
    <t xml:space="preserve">Toll roads, India</t>
  </si>
  <si>
    <t xml:space="preserve">Vesta (NYSE)</t>
  </si>
  <si>
    <t xml:space="preserve">Industrial real estate, Mexico — yield comparator</t>
  </si>
  <si>
    <t xml:space="preserve">Not a toll road; shown for yield context only</t>
  </si>
  <si>
    <t xml:space="preserve">Tabreed (DFM)</t>
  </si>
  <si>
    <t xml:space="preserve">District cooling concessions, UAE</t>
  </si>
  <si>
    <t xml:space="preserve">Salik at the market price</t>
  </si>
  <si>
    <t xml:space="preserve">Median of included peers</t>
  </si>
  <si>
    <t xml:space="preserve">Salik premium / (discount) to the peer median</t>
  </si>
  <si>
    <t xml:space="preserve">Pure toll-road operators with long concessions trade at high-teens to mid-twenties EBITDA multiples because the cash flows are long, contracted and inflation-linked. Salik sits inside that range with the shortest listed history and the least traffic risk, which is why the peer set is short and the exclusions are stated.</t>
  </si>
  <si>
    <t xml:space="preserve">Twelve candidates scored on five criteria — the scores are judgements and the weights are inputs</t>
  </si>
  <si>
    <t xml:space="preserve">CRITERIA WEIGHTS (must sum to 100%)</t>
  </si>
  <si>
    <t xml:space="preserve">Government consent</t>
  </si>
  <si>
    <t xml:space="preserve">THE SCREEN (scores 1 = weak, 5 = strong)</t>
  </si>
  <si>
    <t xml:space="preserve">Candidate</t>
  </si>
  <si>
    <t xml:space="preserve">Type</t>
  </si>
  <si>
    <t xml:space="preserve">Home</t>
  </si>
  <si>
    <t xml:space="preserve">Precedent and relevant assets</t>
  </si>
  <si>
    <t xml:space="preserve">Strategic fit</t>
  </si>
  <si>
    <t xml:space="preserve">Toll-road precedent</t>
  </si>
  <si>
    <t xml:space="preserve">Financial capacity</t>
  </si>
  <si>
    <t xml:space="preserve">Regional presence</t>
  </si>
  <si>
    <t xml:space="preserve">Weighted</t>
  </si>
  <si>
    <t xml:space="preserve">Rank</t>
  </si>
  <si>
    <t xml:space="preserve">Read-across</t>
  </si>
  <si>
    <t xml:space="preserve">Transurban</t>
  </si>
  <si>
    <t xml:space="preserve">Strategic</t>
  </si>
  <si>
    <t xml:space="preserve">Australia</t>
  </si>
  <si>
    <t xml:space="preserve">Owns 20+ urban toll roads; WestConnex, 407 ETR</t>
  </si>
  <si>
    <t xml:space="preserve">Best operator fit; balance sheet stretched; no Gulf presence</t>
  </si>
  <si>
    <t xml:space="preserve">Vinci Concessions</t>
  </si>
  <si>
    <t xml:space="preserve">France</t>
  </si>
  <si>
    <t xml:space="preserve">Autoroutes du Sud; Lima Expresa; airports</t>
  </si>
  <si>
    <t xml:space="preserve">Deepest pockets among strategics; Gulf contracting relationships via Vinci</t>
  </si>
  <si>
    <t xml:space="preserve">Ferrovial / Cintra</t>
  </si>
  <si>
    <t xml:space="preserve">Spain / NL</t>
  </si>
  <si>
    <t xml:space="preserve">407 ETR, LBJ and NTE managed lanes</t>
  </si>
  <si>
    <t xml:space="preserve">Managed-lane expertise fits dynamic pricing; light in the region</t>
  </si>
  <si>
    <t xml:space="preserve">Abertis (Mundys / ACS)</t>
  </si>
  <si>
    <t xml:space="preserve">Spain / Italy</t>
  </si>
  <si>
    <t xml:space="preserve">Largest toll-road operator by km; Red de Carreteras, Sanef</t>
  </si>
  <si>
    <t xml:space="preserve">Largest pure toll-road owner; would want operational control the RTA will not give</t>
  </si>
  <si>
    <t xml:space="preserve">Globalvia</t>
  </si>
  <si>
    <t xml:space="preserve">Spain</t>
  </si>
  <si>
    <t xml:space="preserve">Mid-size toll roads and rail concessions</t>
  </si>
  <si>
    <t xml:space="preserve">Too small for a AED 40bn asset except as a minority partner</t>
  </si>
  <si>
    <t xml:space="preserve">Global Infrastructure Partners (BlackRock)</t>
  </si>
  <si>
    <t xml:space="preserve">Financial</t>
  </si>
  <si>
    <t xml:space="preserve">US</t>
  </si>
  <si>
    <t xml:space="preserve">Jafurah midstream (Aramco); Gatwick; ports</t>
  </si>
  <si>
    <t xml:space="preserve">Just closed Jafurah with Aramco; the template for a Gulf minority-stake deal</t>
  </si>
  <si>
    <t xml:space="preserve">Brookfield Infrastructure</t>
  </si>
  <si>
    <t xml:space="preserve">Canada</t>
  </si>
  <si>
    <t xml:space="preserve">Toll roads in Brazil, India, Peru; large Gulf activity</t>
  </si>
  <si>
    <t xml:space="preserve">Owns toll roads and has a Gulf office; natural anchor investor</t>
  </si>
  <si>
    <t xml:space="preserve">Macquarie Asset Management</t>
  </si>
  <si>
    <t xml:space="preserve">Historic toll-road sponsor; UK, US, India roads</t>
  </si>
  <si>
    <t xml:space="preserve">Invented the listed toll-road fund model; strong precedent</t>
  </si>
  <si>
    <t xml:space="preserve">KKR Infrastructure</t>
  </si>
  <si>
    <t xml:space="preserve">ADNOC pipelines; Indian roads platform</t>
  </si>
  <si>
    <t xml:space="preserve">ADNOC pipelines precedent shows the Gulf structure works</t>
  </si>
  <si>
    <t xml:space="preserve">CVC / DIF Capital Partners</t>
  </si>
  <si>
    <t xml:space="preserve">NL / Luxembourg</t>
  </si>
  <si>
    <t xml:space="preserve">Mid-market PPP and transport concessions</t>
  </si>
  <si>
    <t xml:space="preserve">Cheque size is the constraint</t>
  </si>
  <si>
    <t xml:space="preserve">PIF / Mubadala / ADQ</t>
  </si>
  <si>
    <t xml:space="preserve">Sovereign</t>
  </si>
  <si>
    <t xml:space="preserve">Gulf</t>
  </si>
  <si>
    <t xml:space="preserve">Regional infrastructure; co-investment with global sponsors</t>
  </si>
  <si>
    <t xml:space="preserve">Most likely co-investor in any government sell-down; no operational value-add</t>
  </si>
  <si>
    <t xml:space="preserve">Dubai Holding / ICD (incumbent)</t>
  </si>
  <si>
    <t xml:space="preserve">Dubai</t>
  </si>
  <si>
    <t xml:space="preserve">Existing owner group; reorganisation rather than a sale</t>
  </si>
  <si>
    <t xml:space="preserve">The counterparty in every scenario; a reorganisation is more likely than a sale</t>
  </si>
  <si>
    <t xml:space="preserve">  weighted score</t>
  </si>
  <si>
    <t xml:space="preserve">Financial and sovereign buyers in the top five</t>
  </si>
  <si>
    <t xml:space="preserve">The screen ranks who could realistically hold a stake, not who would bid for control. Vinci leads on fit and balance sheet; the sponsors that have already done minority infrastructure deals with Gulf sovereigns — Brookfield, KKR, GIP — sit immediately behind it, level with the incumbent shareholder group. The purest operators, Transurban and Ferrovial, score highest on fit and fall down the list on consent and capacity, which is the finding: the likely transaction is a minority stake to a sponsor or sovereign, with an operator as a partner rather than a buyer.</t>
  </si>
  <si>
    <t xml:space="preserve">What a sponsor and a strategic could each pay per share, and why they differ</t>
  </si>
  <si>
    <t xml:space="preserve">COMMON OPERATING CASE</t>
  </si>
  <si>
    <t xml:space="preserve">FY2025 EBITDA</t>
  </si>
  <si>
    <t xml:space="preserve">EBITDA growth, next five years</t>
  </si>
  <si>
    <t xml:space="preserve">Traffic and population plus ancillary; below the 2025 step-up, which was a tariff event</t>
  </si>
  <si>
    <t xml:space="preserve">Depreciation and amortisation as % of EBITDA</t>
  </si>
  <si>
    <t xml:space="preserve">Capex as % of EBITDA</t>
  </si>
  <si>
    <t xml:space="preserve">Net debt today</t>
  </si>
  <si>
    <t xml:space="preserve">EBITDA in year five</t>
  </si>
  <si>
    <t xml:space="preserve">A. FINANCIAL SPONSOR — leverage and a return hurdle</t>
  </si>
  <si>
    <t xml:space="preserve">Debt at entry (x EBITDA)</t>
  </si>
  <si>
    <t xml:space="preserve">Infrastructure lenders will go further on a concession with no traffic risk than on a corporate</t>
  </si>
  <si>
    <t xml:space="preserve">Cost of debt</t>
  </si>
  <si>
    <t xml:space="preserve">Exit EV / EBITDA in year five</t>
  </si>
  <si>
    <t xml:space="preserve">Below today's multiple on purpose</t>
  </si>
  <si>
    <t xml:space="preserve">Required equity IRR</t>
  </si>
  <si>
    <t xml:space="preserve">Core-plus infrastructure; lower than a buyout because the risk is lower</t>
  </si>
  <si>
    <t xml:space="preserve">Debt raised at entry</t>
  </si>
  <si>
    <t xml:space="preserve">Debt paydown, year by year (all free cash after interest and tax repays debt)</t>
  </si>
  <si>
    <t xml:space="preserve">Opening debt</t>
  </si>
  <si>
    <t xml:space="preserve">Interest on opening debt</t>
  </si>
  <si>
    <t xml:space="preserve">Cash after tax and capex available to repay debt</t>
  </si>
  <si>
    <t xml:space="preserve">Closing debt</t>
  </si>
  <si>
    <t xml:space="preserve">Exit enterprise value</t>
  </si>
  <si>
    <t xml:space="preserve">Exit equity value</t>
  </si>
  <si>
    <t xml:space="preserve">Maximum equity cheque at the hurdle: exit equity / (1 + IRR)^5</t>
  </si>
  <si>
    <t xml:space="preserve">Transaction and financing fees (% of EV)</t>
  </si>
  <si>
    <t xml:space="preserve">Maximum enterprise value a sponsor can pay</t>
  </si>
  <si>
    <t xml:space="preserve">Maximum price per share — sponsor (AED)</t>
  </si>
  <si>
    <t xml:space="preserve">  versus the market price</t>
  </si>
  <si>
    <t xml:space="preserve">B. STRATEGIC OPERATOR — cost of capital over the remaining concession</t>
  </si>
  <si>
    <t xml:space="preserve">Strategic buyer's WACC for a Gulf concession</t>
  </si>
  <si>
    <t xml:space="preserve">Cost synergies as % of EBITDA</t>
  </si>
  <si>
    <t xml:space="preserve">Little to synergise: the RTA runs the gates. Technology and procurement only</t>
  </si>
  <si>
    <t xml:space="preserve">Remaining concession life (years, to 2071)</t>
  </si>
  <si>
    <t xml:space="preserve">Long-run cash flow growth after year five</t>
  </si>
  <si>
    <t xml:space="preserve">Year-one free cash flow to the firm, with synergies</t>
  </si>
  <si>
    <t xml:space="preserve">PV of years one to five (growing annuity at g)</t>
  </si>
  <si>
    <t xml:space="preserve">PV of years six to end of concession (growing annuity at long-run g)</t>
  </si>
  <si>
    <t xml:space="preserve">Maximum enterprise value a strategic can pay</t>
  </si>
  <si>
    <t xml:space="preserve">Maximum price per share — strategic (AED)</t>
  </si>
  <si>
    <t xml:space="preserve">  implied EV / EBITDA at that price</t>
  </si>
  <si>
    <t xml:space="preserve">A sponsor is capped by what lenders will fund and by a five-year exit; a strategic is capped only by its cost of capital over a 45-year concession. That is why the strategic number is higher and why, in a real process, the financial buyers are the anchor and the operators are the price-setters. Neither can bid without the government.</t>
  </si>
  <si>
    <t xml:space="preserve">Every check must read TRUE</t>
  </si>
  <si>
    <t xml:space="preserve">INTEGRITY CHECKS</t>
  </si>
  <si>
    <t xml:space="preserve">Reported net profit reconciles to EBITDA less D&amp;A, finance and tax in every year</t>
  </si>
  <si>
    <t xml:space="preserve">Capex is below 1% of EBITDA in every year</t>
  </si>
  <si>
    <t xml:space="preserve">Net debt / EBITDA has fallen since FY2022</t>
  </si>
  <si>
    <t xml:space="preserve">Market capitalisation reconciles to price times shares</t>
  </si>
  <si>
    <t xml:space="preserve">Share price lies within the 52-week range</t>
  </si>
  <si>
    <t xml:space="preserve">Peer median evaluates to a number</t>
  </si>
  <si>
    <t xml:space="preserve">Criteria weights sum to 100%</t>
  </si>
  <si>
    <t xml:space="preserve">Every score lies between 1 and 5</t>
  </si>
  <si>
    <t xml:space="preserve">Weighted scores lie between 1 and 5</t>
  </si>
  <si>
    <t xml:space="preserve">Sponsor debt is fully serviced: closing debt never negative and below opening</t>
  </si>
  <si>
    <t xml:space="preserve">Sponsor exit multiple is not above today's trading multiple</t>
  </si>
  <si>
    <t xml:space="preserve">Strategic WACC exceeds long-run growth</t>
  </si>
  <si>
    <t xml:space="preserve">Strategic ability to pay exceeds the sponsor's (the structural result)</t>
  </si>
  <si>
    <t xml:space="preserve">Government stake plus free float equals 100%</t>
  </si>
  <si>
    <t xml:space="preserve">MODEL STATUS</t>
  </si>
  <si>
    <t xml:space="preserve">The thirteenth check is a discipline check: if the sponsor's number ever exceeds the strategic's, either the leverage or the exit multiple has been pushed past what the asset supports.</t>
  </si>
</sst>
</file>

<file path=xl/styles.xml><?xml version="1.0" encoding="utf-8"?>
<styleSheet xmlns="http://schemas.openxmlformats.org/spreadsheetml/2006/main">
  <numFmts count="10">
    <numFmt numFmtId="164" formatCode="General"/>
    <numFmt numFmtId="165" formatCode="#,##0;\(#,##0\);\-"/>
    <numFmt numFmtId="166" formatCode="0.0\x"/>
    <numFmt numFmtId="167" formatCode="0.0%;\(0.0%\);\-"/>
    <numFmt numFmtId="168" formatCode="@"/>
    <numFmt numFmtId="169" formatCode="#,##0.00;\(#,##0.00\);\-"/>
    <numFmt numFmtId="170" formatCode="0.000"/>
    <numFmt numFmtId="171" formatCode="&quot;Yes&quot;;;&quot;No&quot;"/>
    <numFmt numFmtId="172" formatCode="General"/>
    <numFmt numFmtId="173" formatCode="0"/>
  </numFmts>
  <fonts count="21">
    <font>
      <sz val="11"/>
      <color theme="1"/>
      <name val="Calibri"/>
      <family val="2"/>
      <charset val="1"/>
    </font>
    <font>
      <sz val="10"/>
      <name val="Arial"/>
      <family val="0"/>
    </font>
    <font>
      <sz val="10"/>
      <name val="Arial"/>
      <family val="0"/>
    </font>
    <font>
      <sz val="10"/>
      <name val="Arial"/>
      <family val="0"/>
    </font>
    <font>
      <b val="true"/>
      <sz val="9"/>
      <color rgb="FFF58220"/>
      <name val="Arial"/>
      <family val="0"/>
      <charset val="1"/>
    </font>
    <font>
      <b val="true"/>
      <sz val="24"/>
      <color rgb="FF0B3B6F"/>
      <name val="Arial"/>
      <family val="0"/>
      <charset val="1"/>
    </font>
    <font>
      <sz val="15"/>
      <color rgb="FF5D6F84"/>
      <name val="Arial"/>
      <family val="0"/>
      <charset val="1"/>
    </font>
    <font>
      <i val="true"/>
      <sz val="9"/>
      <color rgb="FF7F7F7F"/>
      <name val="Arial"/>
      <family val="0"/>
      <charset val="1"/>
    </font>
    <font>
      <b val="true"/>
      <sz val="10"/>
      <color rgb="FF0B3B6F"/>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B3B6F"/>
      <name val="Arial"/>
      <family val="0"/>
      <charset val="1"/>
    </font>
    <font>
      <b val="true"/>
      <sz val="12"/>
      <name val="Arial"/>
      <family val="0"/>
      <charset val="1"/>
    </font>
  </fonts>
  <fills count="6">
    <fill>
      <patternFill patternType="none"/>
    </fill>
    <fill>
      <patternFill patternType="gray125"/>
    </fill>
    <fill>
      <patternFill patternType="solid">
        <fgColor rgb="FF0B3B6F"/>
        <bgColor rgb="FF333399"/>
      </patternFill>
    </fill>
    <fill>
      <patternFill patternType="solid">
        <fgColor rgb="FFF58220"/>
        <bgColor rgb="FFFF6600"/>
      </patternFill>
    </fill>
    <fill>
      <patternFill patternType="solid">
        <fgColor rgb="FFEAF0F7"/>
        <bgColor rgb="FFFFFFFF"/>
      </patternFill>
    </fill>
    <fill>
      <patternFill patternType="solid">
        <fgColor rgb="FF5D6F84"/>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9"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center" vertical="bottom" textRotation="0" wrapText="false" indent="0" shrinkToFit="false"/>
      <protection locked="true" hidden="false"/>
    </xf>
    <xf numFmtId="167" fontId="12" fillId="0" borderId="0" xfId="0" applyFont="true" applyBorder="false" applyAlignment="true" applyProtection="false">
      <alignment horizontal="center"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9" fontId="13" fillId="0" borderId="2" xfId="0" applyFont="true" applyBorder="tru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EAF0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58220"/>
      <rgbColor rgb="FFFF6600"/>
      <rgbColor rgb="FF5D6F84"/>
      <rgbColor rgb="FF969696"/>
      <rgbColor rgb="FF0B3B6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alik_Profile_Buyer_Screen.xlsx" TargetMode="External"/><Relationship Id="rId2" Type="http://schemas.openxmlformats.org/officeDocument/2006/relationships/hyperlink" Target="Salik_Profile_Buyer_Screen.xlsx" TargetMode="External"/><Relationship Id="rId3" Type="http://schemas.openxmlformats.org/officeDocument/2006/relationships/hyperlink" Target="Salik_Profile_Buyer_Screen.xlsx" TargetMode="External"/><Relationship Id="rId4" Type="http://schemas.openxmlformats.org/officeDocument/2006/relationships/hyperlink" Target="Salik_Profile_Buyer_Screen.xlsx" TargetMode="External"/><Relationship Id="rId5" Type="http://schemas.openxmlformats.org/officeDocument/2006/relationships/hyperlink" Target="Salik_Profile_Buyer_Screen.xlsx" TargetMode="External"/><Relationship Id="rId6" Type="http://schemas.openxmlformats.org/officeDocument/2006/relationships/hyperlink" Target="Salik_Profile_Buyer_Scree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60"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15" hidden="false" customHeight="true" outlineLevel="0" collapsed="false">
      <c r="A12" s="1"/>
      <c r="C12" s="8" t="s">
        <v>8</v>
      </c>
      <c r="D12" s="8"/>
      <c r="E12" s="8"/>
      <c r="F12" s="8"/>
    </row>
    <row r="13" customFormat="false" ht="45"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row>
    <row r="23" customFormat="false" ht="15" hidden="false" customHeight="false" outlineLevel="0" collapsed="false">
      <c r="A23" s="1"/>
      <c r="B23" s="7" t="s">
        <v>18</v>
      </c>
      <c r="C23" s="10" t="s">
        <v>19</v>
      </c>
      <c r="D23" s="11"/>
      <c r="E23" s="12" t="n">
        <f aca="false">Financials!$F$8</f>
        <v>2165</v>
      </c>
    </row>
    <row r="24" customFormat="false" ht="15" hidden="false" customHeight="false" outlineLevel="0" collapsed="false">
      <c r="A24" s="1"/>
      <c r="C24" s="10" t="s">
        <v>20</v>
      </c>
      <c r="D24" s="11"/>
      <c r="E24" s="13" t="n">
        <f aca="false">Trading!$D$10</f>
        <v>20.213856812933</v>
      </c>
    </row>
    <row r="25" customFormat="false" ht="15" hidden="false" customHeight="false" outlineLevel="0" collapsed="false">
      <c r="A25" s="1"/>
      <c r="C25" s="10" t="s">
        <v>21</v>
      </c>
      <c r="D25" s="11"/>
      <c r="E25" s="14" t="n">
        <f aca="false">Trading!$D$14</f>
        <v>1.685</v>
      </c>
    </row>
    <row r="26" customFormat="false" ht="15" hidden="false" customHeight="false" outlineLevel="0" collapsed="false">
      <c r="A26" s="1"/>
      <c r="C26" s="10" t="s">
        <v>22</v>
      </c>
      <c r="D26" s="11"/>
      <c r="E26" s="15" t="str">
        <f aca="false">'Buyer Screen'!$E$22</f>
        <v>Vinci Concessions</v>
      </c>
    </row>
    <row r="27" customFormat="false" ht="15" hidden="false" customHeight="false" outlineLevel="0" collapsed="false">
      <c r="A27" s="1"/>
      <c r="C27" s="10" t="s">
        <v>23</v>
      </c>
      <c r="D27" s="11"/>
      <c r="E27" s="16" t="n">
        <f aca="false">'Ability to Pay'!$C$31</f>
        <v>4.6578897272466</v>
      </c>
    </row>
    <row r="28" customFormat="false" ht="15" hidden="false" customHeight="false" outlineLevel="0" collapsed="false">
      <c r="A28" s="1"/>
      <c r="C28" s="10" t="s">
        <v>24</v>
      </c>
      <c r="D28" s="11"/>
      <c r="E28" s="16" t="n">
        <f aca="false">'Ability to Pay'!$C$43</f>
        <v>6.045524765778</v>
      </c>
    </row>
    <row r="29" customFormat="false" ht="15" hidden="false" customHeight="false" outlineLevel="0" collapsed="false">
      <c r="A29" s="1"/>
    </row>
    <row r="30" customFormat="false" ht="15" hidden="false" customHeight="false" outlineLevel="0" collapsed="false">
      <c r="A30" s="1"/>
      <c r="B30" s="7" t="s">
        <v>25</v>
      </c>
      <c r="C30" s="17" t="s">
        <v>26</v>
      </c>
    </row>
    <row r="31" customFormat="false" ht="15" hidden="false" customHeight="false" outlineLevel="0" collapsed="false">
      <c r="A31" s="1"/>
      <c r="C31" s="18" t="s">
        <v>27</v>
      </c>
    </row>
    <row r="32" customFormat="false" ht="15" hidden="false" customHeight="false" outlineLevel="0" collapsed="false">
      <c r="A32" s="1"/>
      <c r="C32" s="19" t="s">
        <v>28</v>
      </c>
    </row>
    <row r="33" customFormat="false" ht="15" hidden="false" customHeight="false" outlineLevel="0" collapsed="false">
      <c r="A33" s="1"/>
      <c r="C33" s="20" t="s">
        <v>29</v>
      </c>
    </row>
    <row r="34" customFormat="false" ht="15" hidden="false" customHeight="false" outlineLevel="0" collapsed="false">
      <c r="A34" s="1"/>
    </row>
    <row r="35" customFormat="false" ht="27.75" hidden="false" customHeight="true" outlineLevel="0" collapsed="false">
      <c r="A35" s="1"/>
      <c r="B35" s="7" t="s">
        <v>30</v>
      </c>
      <c r="C35" s="21" t="s">
        <v>31</v>
      </c>
      <c r="D35" s="21"/>
      <c r="E35" s="21"/>
      <c r="F35" s="21"/>
    </row>
    <row r="36" customFormat="false" ht="27.75" hidden="false" customHeight="true" outlineLevel="0" collapsed="false">
      <c r="A36" s="1"/>
      <c r="C36" s="21" t="s">
        <v>32</v>
      </c>
      <c r="D36" s="21"/>
      <c r="E36" s="21"/>
      <c r="F36" s="21"/>
    </row>
    <row r="37" customFormat="false" ht="27.75" hidden="false" customHeight="true" outlineLevel="0" collapsed="false">
      <c r="A37" s="1"/>
      <c r="C37" s="21" t="s">
        <v>33</v>
      </c>
      <c r="D37" s="21"/>
      <c r="E37" s="21"/>
      <c r="F37" s="21"/>
    </row>
    <row r="38" customFormat="false" ht="27.75" hidden="false" customHeight="true" outlineLevel="0" collapsed="false">
      <c r="A38" s="1"/>
      <c r="C38" s="21" t="s">
        <v>34</v>
      </c>
      <c r="D38" s="21"/>
      <c r="E38" s="21"/>
      <c r="F38" s="21"/>
    </row>
    <row r="39" customFormat="false" ht="15" hidden="false" customHeight="false" outlineLevel="0" collapsed="false">
      <c r="A39" s="1"/>
    </row>
    <row r="40" customFormat="false" ht="15" hidden="false" customHeight="false" outlineLevel="0" collapsed="false">
      <c r="A40" s="1"/>
      <c r="B40" s="7" t="s">
        <v>35</v>
      </c>
      <c r="C40" s="22" t="s">
        <v>36</v>
      </c>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5">
    <mergeCell ref="C9:F9"/>
    <mergeCell ref="C11:F11"/>
    <mergeCell ref="C12:F12"/>
    <mergeCell ref="C13:F13"/>
    <mergeCell ref="C14:F14"/>
    <mergeCell ref="C16:F16"/>
    <mergeCell ref="C17:F17"/>
    <mergeCell ref="C18:F18"/>
    <mergeCell ref="C19:F19"/>
    <mergeCell ref="C20:F20"/>
    <mergeCell ref="C21:F21"/>
    <mergeCell ref="C35:F35"/>
    <mergeCell ref="C36:F36"/>
    <mergeCell ref="C37:F37"/>
    <mergeCell ref="C38:F38"/>
  </mergeCells>
  <hyperlinks>
    <hyperlink ref="C16" r:id="rId1" location="'Profile'!A1" display="Profile  —  the business, the case for a buyer, the constraint"/>
    <hyperlink ref="C17" r:id="rId2" location="'Financials'!A1" display="Financials  —  FY2022–FY2025 income, cash, balance sheet"/>
    <hyperlink ref="C18" r:id="rId3" location="'Trading'!A1" display="Trading  —  multiples at the market price and against peers"/>
    <hyperlink ref="C19" r:id="rId4" location="'Buyer%20Screen'!A1" display="Buyer Screen  —  twelve candidates, five criteria, live ranking"/>
    <hyperlink ref="C20" r:id="rId5" location="'Ability%20to%20Pay'!A1" display="Ability to Pay  —  sponsor versus strategic, price per share"/>
    <hyperlink ref="C21" r:id="rId6" location="'Checks'!A1" display="Checks  —  four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&amp;L&amp;"Arial,Bold"&amp;8Salik — Company Profile and Buyer Screen&amp;R&amp;"Arial,Regular"&amp;8Cover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2"/>
    <col collapsed="false" customWidth="true" hidden="false" outlineLevel="0" max="6" min="3" style="0" width="13.5"/>
    <col collapsed="false" customWidth="true" hidden="false" outlineLevel="0" max="7" min="7" style="0" width="44"/>
  </cols>
  <sheetData>
    <row r="1" customFormat="false" ht="30" hidden="false" customHeight="true" outlineLevel="0" collapsed="false">
      <c r="A1" s="1"/>
      <c r="B1" s="23" t="s">
        <v>37</v>
      </c>
      <c r="C1" s="1"/>
      <c r="D1" s="1"/>
      <c r="E1" s="1"/>
      <c r="F1" s="1"/>
      <c r="G1" s="24" t="s">
        <v>38</v>
      </c>
    </row>
    <row r="2" customFormat="false" ht="18" hidden="false" customHeight="true" outlineLevel="0" collapsed="false">
      <c r="A2" s="1"/>
      <c r="B2" s="25" t="s">
        <v>39</v>
      </c>
      <c r="C2" s="1"/>
      <c r="D2" s="1"/>
      <c r="E2" s="1"/>
      <c r="F2" s="1"/>
      <c r="G2" s="1"/>
    </row>
    <row r="4" customFormat="false" ht="15.75" hidden="false" customHeight="true" outlineLevel="0" collapsed="false">
      <c r="B4" s="26" t="s">
        <v>40</v>
      </c>
      <c r="C4" s="1"/>
      <c r="D4" s="1"/>
      <c r="E4" s="1"/>
      <c r="F4" s="1"/>
      <c r="G4" s="1"/>
    </row>
    <row r="5" customFormat="false" ht="18" hidden="false" customHeight="true" outlineLevel="0" collapsed="false">
      <c r="B5" s="27"/>
      <c r="C5" s="28" t="s">
        <v>41</v>
      </c>
      <c r="D5" s="28" t="s">
        <v>42</v>
      </c>
      <c r="E5" s="28" t="s">
        <v>43</v>
      </c>
      <c r="F5" s="28" t="s">
        <v>44</v>
      </c>
    </row>
    <row r="6" customFormat="false" ht="15" hidden="false" customHeight="false" outlineLevel="0" collapsed="false">
      <c r="B6" s="27" t="s">
        <v>45</v>
      </c>
      <c r="C6" s="29" t="n">
        <v>1892</v>
      </c>
      <c r="D6" s="29" t="n">
        <v>2109</v>
      </c>
      <c r="E6" s="29" t="n">
        <v>2292</v>
      </c>
      <c r="F6" s="29" t="n">
        <v>3097</v>
      </c>
    </row>
    <row r="7" customFormat="false" ht="15" hidden="false" customHeight="false" outlineLevel="0" collapsed="false">
      <c r="B7" s="22" t="s">
        <v>46</v>
      </c>
      <c r="C7" s="30"/>
      <c r="D7" s="31" t="n">
        <f aca="false">D6/C6-1</f>
        <v>0.114693446088795</v>
      </c>
      <c r="E7" s="31" t="n">
        <f aca="false">E6/D6-1</f>
        <v>0.0867709815078237</v>
      </c>
      <c r="F7" s="31" t="n">
        <f aca="false">F6/E6-1</f>
        <v>0.351221640488656</v>
      </c>
    </row>
    <row r="8" customFormat="false" ht="15" hidden="false" customHeight="false" outlineLevel="0" collapsed="false">
      <c r="B8" s="27" t="s">
        <v>47</v>
      </c>
      <c r="C8" s="29" t="n">
        <v>1443</v>
      </c>
      <c r="D8" s="29" t="n">
        <v>1420</v>
      </c>
      <c r="E8" s="29" t="n">
        <v>1627</v>
      </c>
      <c r="F8" s="29" t="n">
        <v>2165</v>
      </c>
    </row>
    <row r="9" customFormat="false" ht="15" hidden="false" customHeight="false" outlineLevel="0" collapsed="false">
      <c r="B9" s="22" t="s">
        <v>48</v>
      </c>
      <c r="C9" s="31" t="n">
        <f aca="false">C8/C6</f>
        <v>0.762684989429176</v>
      </c>
      <c r="D9" s="31" t="n">
        <f aca="false">D8/D6</f>
        <v>0.6733048838312</v>
      </c>
      <c r="E9" s="31" t="n">
        <f aca="false">E8/E6</f>
        <v>0.709860383944154</v>
      </c>
      <c r="F9" s="31" t="n">
        <f aca="false">F8/F6</f>
        <v>0.699063609945108</v>
      </c>
    </row>
    <row r="10" customFormat="false" ht="15" hidden="false" customHeight="false" outlineLevel="0" collapsed="false">
      <c r="B10" s="22" t="s">
        <v>49</v>
      </c>
      <c r="C10" s="29" t="n">
        <v>-44</v>
      </c>
      <c r="D10" s="29" t="n">
        <v>-83</v>
      </c>
      <c r="E10" s="29" t="n">
        <v>-91</v>
      </c>
      <c r="F10" s="29" t="n">
        <v>-145</v>
      </c>
    </row>
    <row r="11" customFormat="false" ht="15" hidden="false" customHeight="false" outlineLevel="0" collapsed="false">
      <c r="B11" s="22" t="s">
        <v>50</v>
      </c>
      <c r="C11" s="29" t="n">
        <v>-73</v>
      </c>
      <c r="D11" s="29" t="n">
        <v>-239</v>
      </c>
      <c r="E11" s="29" t="n">
        <v>-257</v>
      </c>
      <c r="F11" s="29" t="n">
        <v>-313</v>
      </c>
    </row>
    <row r="12" customFormat="false" ht="15" hidden="false" customHeight="false" outlineLevel="0" collapsed="false">
      <c r="B12" s="22" t="s">
        <v>51</v>
      </c>
      <c r="C12" s="29" t="n">
        <v>0</v>
      </c>
      <c r="D12" s="29" t="n">
        <v>0</v>
      </c>
      <c r="E12" s="29" t="n">
        <v>-115</v>
      </c>
      <c r="F12" s="29" t="n">
        <v>-154</v>
      </c>
    </row>
    <row r="13" customFormat="false" ht="15" hidden="false" customHeight="false" outlineLevel="0" collapsed="false">
      <c r="B13" s="27" t="s">
        <v>52</v>
      </c>
      <c r="C13" s="32" t="n">
        <v>1326</v>
      </c>
      <c r="D13" s="32" t="n">
        <v>1098</v>
      </c>
      <c r="E13" s="32" t="n">
        <v>1165</v>
      </c>
      <c r="F13" s="32" t="n">
        <v>1553</v>
      </c>
    </row>
    <row r="14" customFormat="false" ht="15" hidden="false" customHeight="false" outlineLevel="0" collapsed="false">
      <c r="B14" s="22" t="s">
        <v>53</v>
      </c>
      <c r="C14" s="33" t="n">
        <f aca="false">C8+C10+C11+C12</f>
        <v>1326</v>
      </c>
      <c r="D14" s="33" t="n">
        <f aca="false">D8+D10+D11+D12</f>
        <v>1098</v>
      </c>
      <c r="E14" s="33" t="n">
        <f aca="false">E8+E10+E11+E12</f>
        <v>1164</v>
      </c>
      <c r="F14" s="33" t="n">
        <f aca="false">F8+F10+F11+F12</f>
        <v>1553</v>
      </c>
    </row>
    <row r="15" customFormat="false" ht="15" hidden="false" customHeight="false" outlineLevel="0" collapsed="false">
      <c r="B15" s="22" t="s">
        <v>54</v>
      </c>
      <c r="C15" s="34" t="n">
        <f aca="false">C13/7500</f>
        <v>0.1768</v>
      </c>
      <c r="D15" s="34" t="n">
        <f aca="false">D13/7500</f>
        <v>0.1464</v>
      </c>
      <c r="E15" s="34" t="n">
        <f aca="false">E13/7500</f>
        <v>0.155333333333333</v>
      </c>
      <c r="F15" s="34" t="n">
        <f aca="false">F13/7500</f>
        <v>0.207066666666667</v>
      </c>
    </row>
    <row r="17" customFormat="false" ht="15.75" hidden="false" customHeight="true" outlineLevel="0" collapsed="false">
      <c r="B17" s="26" t="s">
        <v>55</v>
      </c>
      <c r="C17" s="1"/>
      <c r="D17" s="1"/>
      <c r="E17" s="1"/>
      <c r="F17" s="1"/>
      <c r="G17" s="1"/>
    </row>
    <row r="18" customFormat="false" ht="15" hidden="false" customHeight="false" outlineLevel="0" collapsed="false">
      <c r="B18" s="22" t="s">
        <v>56</v>
      </c>
      <c r="C18" s="29" t="n">
        <v>1516</v>
      </c>
      <c r="D18" s="29" t="n">
        <v>1454</v>
      </c>
      <c r="E18" s="29" t="n">
        <v>1463</v>
      </c>
      <c r="F18" s="29" t="n">
        <v>2082</v>
      </c>
    </row>
    <row r="19" customFormat="false" ht="15" hidden="false" customHeight="false" outlineLevel="0" collapsed="false">
      <c r="B19" s="22" t="s">
        <v>57</v>
      </c>
      <c r="C19" s="29" t="n">
        <v>-3</v>
      </c>
      <c r="D19" s="29" t="n">
        <v>-5</v>
      </c>
      <c r="E19" s="29" t="n">
        <v>-6</v>
      </c>
      <c r="F19" s="29" t="n">
        <v>-3</v>
      </c>
    </row>
    <row r="20" customFormat="false" ht="15" hidden="false" customHeight="false" outlineLevel="0" collapsed="false">
      <c r="B20" s="27" t="s">
        <v>58</v>
      </c>
      <c r="C20" s="35" t="n">
        <f aca="false">C18+C19</f>
        <v>1513</v>
      </c>
      <c r="D20" s="35" t="n">
        <f aca="false">D18+D19</f>
        <v>1449</v>
      </c>
      <c r="E20" s="35" t="n">
        <f aca="false">E18+E19</f>
        <v>1457</v>
      </c>
      <c r="F20" s="35" t="n">
        <f aca="false">F18+F19</f>
        <v>2079</v>
      </c>
    </row>
    <row r="21" customFormat="false" ht="15" hidden="false" customHeight="false" outlineLevel="0" collapsed="false">
      <c r="B21" s="22" t="s">
        <v>59</v>
      </c>
      <c r="C21" s="29" t="n">
        <v>-827</v>
      </c>
      <c r="D21" s="29" t="n">
        <v>-1039</v>
      </c>
      <c r="E21" s="29" t="n">
        <v>-1095</v>
      </c>
      <c r="F21" s="29" t="n">
        <v>-1391</v>
      </c>
    </row>
    <row r="22" customFormat="false" ht="15" hidden="false" customHeight="false" outlineLevel="0" collapsed="false">
      <c r="B22" s="22" t="s">
        <v>60</v>
      </c>
      <c r="C22" s="30"/>
      <c r="D22" s="31" t="n">
        <f aca="false">-Financials!$D$21/Financials!$C$13</f>
        <v>0.783559577677225</v>
      </c>
      <c r="E22" s="31" t="n">
        <f aca="false">-Financials!$E$21/Financials!$D$13</f>
        <v>0.997267759562842</v>
      </c>
      <c r="F22" s="31" t="n">
        <f aca="false">-Financials!$F$21/Financials!$E$13</f>
        <v>1.19399141630901</v>
      </c>
    </row>
    <row r="23" customFormat="false" ht="15" hidden="false" customHeight="false" outlineLevel="0" collapsed="false">
      <c r="B23" s="22" t="s">
        <v>61</v>
      </c>
      <c r="C23" s="31" t="n">
        <f aca="false">Financials!$C$20/Financials!$C$8</f>
        <v>1.04851004851005</v>
      </c>
      <c r="D23" s="31" t="n">
        <f aca="false">Financials!$D$20/Financials!$D$8</f>
        <v>1.02042253521127</v>
      </c>
      <c r="E23" s="31" t="n">
        <f aca="false">Financials!$E$20/Financials!$E$8</f>
        <v>0.895513214505224</v>
      </c>
      <c r="F23" s="31" t="n">
        <f aca="false">Financials!$F$20/Financials!$F$8</f>
        <v>0.960277136258661</v>
      </c>
    </row>
    <row r="25" customFormat="false" ht="15.75" hidden="false" customHeight="true" outlineLevel="0" collapsed="false">
      <c r="B25" s="26" t="s">
        <v>62</v>
      </c>
      <c r="C25" s="1"/>
      <c r="D25" s="1"/>
      <c r="E25" s="1"/>
      <c r="F25" s="1"/>
      <c r="G25" s="1"/>
    </row>
    <row r="26" customFormat="false" ht="15" hidden="false" customHeight="false" outlineLevel="0" collapsed="false">
      <c r="B26" s="22" t="s">
        <v>63</v>
      </c>
      <c r="C26" s="29" t="n">
        <v>3986</v>
      </c>
      <c r="D26" s="29" t="n">
        <v>3997</v>
      </c>
      <c r="E26" s="29" t="n">
        <v>4000</v>
      </c>
      <c r="F26" s="29" t="n">
        <v>4001</v>
      </c>
    </row>
    <row r="27" customFormat="false" ht="15" hidden="false" customHeight="false" outlineLevel="0" collapsed="false">
      <c r="B27" s="22" t="s">
        <v>64</v>
      </c>
      <c r="C27" s="29" t="n">
        <v>823</v>
      </c>
      <c r="D27" s="29" t="n">
        <v>266</v>
      </c>
      <c r="E27" s="29" t="n">
        <v>964</v>
      </c>
      <c r="F27" s="29" t="n">
        <v>513</v>
      </c>
    </row>
    <row r="28" customFormat="false" ht="15" hidden="false" customHeight="false" outlineLevel="0" collapsed="false">
      <c r="B28" s="27" t="s">
        <v>65</v>
      </c>
      <c r="C28" s="33" t="n">
        <f aca="false">C26-C27</f>
        <v>3163</v>
      </c>
      <c r="D28" s="33" t="n">
        <f aca="false">D26-D27</f>
        <v>3731</v>
      </c>
      <c r="E28" s="33" t="n">
        <f aca="false">E26-E27</f>
        <v>3036</v>
      </c>
      <c r="F28" s="33" t="n">
        <f aca="false">F26-F27</f>
        <v>3488</v>
      </c>
    </row>
    <row r="29" customFormat="false" ht="15" hidden="false" customHeight="false" outlineLevel="0" collapsed="false">
      <c r="B29" s="22" t="s">
        <v>66</v>
      </c>
      <c r="C29" s="36" t="n">
        <f aca="false">Financials!$C$28/Financials!$C$8</f>
        <v>2.19196119196119</v>
      </c>
      <c r="D29" s="36" t="n">
        <f aca="false">Financials!$D$28/Financials!$D$8</f>
        <v>2.62746478873239</v>
      </c>
      <c r="E29" s="36" t="n">
        <f aca="false">Financials!$E$28/Financials!$E$8</f>
        <v>1.8660110633067</v>
      </c>
      <c r="F29" s="36" t="n">
        <f aca="false">Financials!$F$28/Financials!$F$8</f>
        <v>1.61108545034642</v>
      </c>
    </row>
    <row r="30" customFormat="false" ht="15" hidden="false" customHeight="false" outlineLevel="0" collapsed="false">
      <c r="B30" s="22" t="s">
        <v>67</v>
      </c>
      <c r="C30" s="36" t="n">
        <f aca="false">-Financials!$C$8/Financials!$C$11</f>
        <v>19.7671232876712</v>
      </c>
      <c r="D30" s="36" t="n">
        <f aca="false">-Financials!$D$8/Financials!$D$11</f>
        <v>5.94142259414226</v>
      </c>
      <c r="E30" s="36" t="n">
        <f aca="false">-Financials!$E$8/Financials!$E$11</f>
        <v>6.3307392996109</v>
      </c>
      <c r="F30" s="36" t="n">
        <f aca="false">-Financials!$F$8/Financials!$F$11</f>
        <v>6.91693290734824</v>
      </c>
    </row>
    <row r="31" customFormat="false" ht="15" hidden="false" customHeight="false" outlineLevel="0" collapsed="false">
      <c r="B31" s="22" t="s">
        <v>68</v>
      </c>
      <c r="C31" s="29" t="n">
        <v>604</v>
      </c>
      <c r="D31" s="29" t="n">
        <v>663</v>
      </c>
      <c r="E31" s="29" t="n">
        <v>1088</v>
      </c>
      <c r="F31" s="29" t="n">
        <v>1219</v>
      </c>
    </row>
    <row r="32" customFormat="false" ht="43.5" hidden="false" customHeight="true" outlineLevel="0" collapsed="false">
      <c r="B32" s="21" t="s">
        <v>69</v>
      </c>
      <c r="C32" s="21"/>
      <c r="D32" s="21"/>
      <c r="E32" s="21"/>
      <c r="F32" s="21"/>
      <c r="G32" s="21"/>
    </row>
  </sheetData>
  <mergeCells count="1">
    <mergeCell ref="B32:G3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Screen&amp;R&amp;"Arial,Regular"&amp;8Financials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3" min="3" style="0" width="90"/>
    <col collapsed="false" customWidth="true" hidden="false" outlineLevel="0" max="6" min="4" style="0" width="15"/>
  </cols>
  <sheetData>
    <row r="1" customFormat="false" ht="30" hidden="false" customHeight="true" outlineLevel="0" collapsed="false">
      <c r="A1" s="1"/>
      <c r="B1" s="23" t="s">
        <v>37</v>
      </c>
      <c r="C1" s="1"/>
      <c r="D1" s="1"/>
      <c r="E1" s="1"/>
      <c r="F1" s="24" t="s">
        <v>38</v>
      </c>
    </row>
    <row r="2" customFormat="false" ht="18" hidden="false" customHeight="true" outlineLevel="0" collapsed="false">
      <c r="A2" s="1"/>
      <c r="B2" s="25" t="s">
        <v>70</v>
      </c>
      <c r="C2" s="1"/>
      <c r="D2" s="1"/>
      <c r="E2" s="1"/>
      <c r="F2" s="1"/>
    </row>
    <row r="4" customFormat="false" ht="15.75" hidden="false" customHeight="true" outlineLevel="0" collapsed="false">
      <c r="B4" s="26" t="s">
        <v>71</v>
      </c>
      <c r="C4" s="1"/>
      <c r="D4" s="1"/>
      <c r="E4" s="1"/>
      <c r="F4" s="1"/>
    </row>
    <row r="5" customFormat="false" ht="45" hidden="false" customHeight="true" outlineLevel="0" collapsed="false">
      <c r="B5" s="27" t="s">
        <v>72</v>
      </c>
      <c r="C5" s="8" t="s">
        <v>73</v>
      </c>
      <c r="D5" s="8"/>
      <c r="E5" s="8"/>
      <c r="F5" s="8"/>
    </row>
    <row r="6" customFormat="false" ht="45" hidden="false" customHeight="true" outlineLevel="0" collapsed="false">
      <c r="B6" s="27" t="s">
        <v>74</v>
      </c>
      <c r="C6" s="8" t="s">
        <v>75</v>
      </c>
      <c r="D6" s="8"/>
      <c r="E6" s="8"/>
      <c r="F6" s="8"/>
    </row>
    <row r="7" customFormat="false" ht="30" hidden="false" customHeight="true" outlineLevel="0" collapsed="false">
      <c r="B7" s="27" t="s">
        <v>76</v>
      </c>
      <c r="C7" s="8" t="s">
        <v>77</v>
      </c>
      <c r="D7" s="8"/>
      <c r="E7" s="8"/>
      <c r="F7" s="8"/>
    </row>
    <row r="8" customFormat="false" ht="30" hidden="false" customHeight="true" outlineLevel="0" collapsed="false">
      <c r="B8" s="27" t="s">
        <v>78</v>
      </c>
      <c r="C8" s="8" t="s">
        <v>79</v>
      </c>
      <c r="D8" s="8"/>
      <c r="E8" s="8"/>
      <c r="F8" s="8"/>
    </row>
    <row r="9" customFormat="false" ht="30" hidden="false" customHeight="true" outlineLevel="0" collapsed="false">
      <c r="B9" s="27" t="s">
        <v>80</v>
      </c>
      <c r="C9" s="8" t="s">
        <v>81</v>
      </c>
      <c r="D9" s="8"/>
      <c r="E9" s="8"/>
      <c r="F9" s="8"/>
    </row>
    <row r="11" customFormat="false" ht="15.75" hidden="false" customHeight="true" outlineLevel="0" collapsed="false">
      <c r="B11" s="26" t="s">
        <v>82</v>
      </c>
      <c r="C11" s="1"/>
      <c r="D11" s="1"/>
      <c r="E11" s="1"/>
      <c r="F11" s="1"/>
    </row>
    <row r="12" customFormat="false" ht="30" hidden="false" customHeight="true" outlineLevel="0" collapsed="false">
      <c r="B12" s="27" t="s">
        <v>83</v>
      </c>
      <c r="C12" s="8" t="s">
        <v>84</v>
      </c>
      <c r="D12" s="8"/>
      <c r="E12" s="8"/>
      <c r="F12" s="8"/>
    </row>
    <row r="13" customFormat="false" ht="45" hidden="false" customHeight="true" outlineLevel="0" collapsed="false">
      <c r="B13" s="27" t="s">
        <v>85</v>
      </c>
      <c r="C13" s="8" t="s">
        <v>86</v>
      </c>
      <c r="D13" s="8"/>
      <c r="E13" s="8"/>
      <c r="F13" s="8"/>
    </row>
    <row r="14" customFormat="false" ht="60" hidden="false" customHeight="true" outlineLevel="0" collapsed="false">
      <c r="B14" s="27" t="s">
        <v>87</v>
      </c>
      <c r="C14" s="8" t="s">
        <v>88</v>
      </c>
      <c r="D14" s="8"/>
      <c r="E14" s="8"/>
      <c r="F14" s="8"/>
    </row>
    <row r="16" customFormat="false" ht="15.75" hidden="false" customHeight="true" outlineLevel="0" collapsed="false">
      <c r="B16" s="26" t="s">
        <v>89</v>
      </c>
      <c r="C16" s="1"/>
      <c r="D16" s="1"/>
      <c r="E16" s="1"/>
      <c r="F16" s="1"/>
    </row>
    <row r="17" customFormat="false" ht="15" hidden="false" customHeight="false" outlineLevel="0" collapsed="false">
      <c r="B17" s="22" t="s">
        <v>90</v>
      </c>
      <c r="C17" s="37" t="n">
        <f aca="false">Financials!$F$6</f>
        <v>3097</v>
      </c>
    </row>
    <row r="18" customFormat="false" ht="15" hidden="false" customHeight="false" outlineLevel="0" collapsed="false">
      <c r="B18" s="22" t="s">
        <v>91</v>
      </c>
      <c r="C18" s="37" t="n">
        <f aca="false">Financials!$F$8</f>
        <v>2165</v>
      </c>
    </row>
    <row r="19" customFormat="false" ht="15" hidden="false" customHeight="false" outlineLevel="0" collapsed="false">
      <c r="B19" s="22" t="s">
        <v>92</v>
      </c>
      <c r="C19" s="38" t="n">
        <f aca="false">Financials!$F$9</f>
        <v>0.699063609945108</v>
      </c>
    </row>
    <row r="20" customFormat="false" ht="15" hidden="false" customHeight="false" outlineLevel="0" collapsed="false">
      <c r="B20" s="22" t="s">
        <v>93</v>
      </c>
      <c r="C20" s="37" t="n">
        <f aca="false">Financials!$F$13</f>
        <v>1553</v>
      </c>
    </row>
    <row r="21" customFormat="false" ht="15" hidden="false" customHeight="false" outlineLevel="0" collapsed="false">
      <c r="B21" s="22" t="s">
        <v>94</v>
      </c>
      <c r="C21" s="38" t="n">
        <f aca="false">Financials!$F$23</f>
        <v>0.960277136258661</v>
      </c>
    </row>
    <row r="22" customFormat="false" ht="15" hidden="false" customHeight="false" outlineLevel="0" collapsed="false">
      <c r="B22" s="22" t="s">
        <v>95</v>
      </c>
      <c r="C22" s="39" t="n">
        <f aca="false">Financials!$F$29</f>
        <v>1.61108545034642</v>
      </c>
    </row>
  </sheetData>
  <mergeCells count="8">
    <mergeCell ref="C5:F5"/>
    <mergeCell ref="C6:F6"/>
    <mergeCell ref="C7:F7"/>
    <mergeCell ref="C8:F8"/>
    <mergeCell ref="C9:F9"/>
    <mergeCell ref="C12:F12"/>
    <mergeCell ref="C13:F13"/>
    <mergeCell ref="C14:F1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Screen&amp;R&amp;"Arial,Regular"&amp;8Profile</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3" min="3" style="0" width="40"/>
    <col collapsed="false" customWidth="true" hidden="false" outlineLevel="0" max="6" min="4" style="0" width="14"/>
    <col collapsed="false" customWidth="true" hidden="false" outlineLevel="0" max="7" min="7" style="0" width="46"/>
  </cols>
  <sheetData>
    <row r="1" customFormat="false" ht="30" hidden="false" customHeight="true" outlineLevel="0" collapsed="false">
      <c r="A1" s="1"/>
      <c r="B1" s="23" t="s">
        <v>37</v>
      </c>
      <c r="C1" s="1"/>
      <c r="D1" s="1"/>
      <c r="E1" s="1"/>
      <c r="F1" s="1"/>
      <c r="G1" s="24" t="s">
        <v>38</v>
      </c>
    </row>
    <row r="2" customFormat="false" ht="18" hidden="false" customHeight="true" outlineLevel="0" collapsed="false">
      <c r="A2" s="1"/>
      <c r="B2" s="25" t="s">
        <v>96</v>
      </c>
      <c r="C2" s="1"/>
      <c r="D2" s="1"/>
      <c r="E2" s="1"/>
      <c r="F2" s="1"/>
      <c r="G2" s="1"/>
    </row>
    <row r="4" customFormat="false" ht="15.75" hidden="false" customHeight="true" outlineLevel="0" collapsed="false">
      <c r="B4" s="26" t="s">
        <v>97</v>
      </c>
      <c r="C4" s="1"/>
      <c r="D4" s="1"/>
      <c r="E4" s="1"/>
      <c r="F4" s="1"/>
      <c r="G4" s="1"/>
    </row>
    <row r="5" customFormat="false" ht="15" hidden="false" customHeight="false" outlineLevel="0" collapsed="false">
      <c r="B5" s="22" t="s">
        <v>98</v>
      </c>
      <c r="D5" s="40" t="n">
        <v>5.37</v>
      </c>
    </row>
    <row r="6" customFormat="false" ht="15" hidden="false" customHeight="false" outlineLevel="0" collapsed="false">
      <c r="B6" s="22" t="s">
        <v>99</v>
      </c>
      <c r="D6" s="29" t="n">
        <v>7500</v>
      </c>
    </row>
    <row r="7" customFormat="false" ht="15" hidden="false" customHeight="false" outlineLevel="0" collapsed="false">
      <c r="B7" s="27" t="s">
        <v>100</v>
      </c>
      <c r="D7" s="33" t="n">
        <f aca="false">Trading!$D$5*Trading!$D$6</f>
        <v>40275</v>
      </c>
    </row>
    <row r="8" customFormat="false" ht="15" hidden="false" customHeight="false" outlineLevel="0" collapsed="false">
      <c r="B8" s="22" t="s">
        <v>101</v>
      </c>
      <c r="D8" s="37" t="n">
        <f aca="false">Financials!$F$28</f>
        <v>3488</v>
      </c>
    </row>
    <row r="9" customFormat="false" ht="15" hidden="false" customHeight="false" outlineLevel="0" collapsed="false">
      <c r="B9" s="27" t="s">
        <v>102</v>
      </c>
      <c r="D9" s="33" t="n">
        <f aca="false">Trading!$D$7+Trading!$D$8</f>
        <v>43763</v>
      </c>
    </row>
    <row r="10" customFormat="false" ht="15" hidden="false" customHeight="false" outlineLevel="0" collapsed="false">
      <c r="B10" s="27" t="s">
        <v>103</v>
      </c>
      <c r="D10" s="36" t="n">
        <f aca="false">Trading!$D$9/Financials!$F$8</f>
        <v>20.213856812933</v>
      </c>
    </row>
    <row r="11" customFormat="false" ht="15" hidden="false" customHeight="false" outlineLevel="0" collapsed="false">
      <c r="B11" s="22" t="s">
        <v>104</v>
      </c>
      <c r="D11" s="36" t="n">
        <f aca="false">Trading!$D$7/Financials!$F$13</f>
        <v>25.9336767546684</v>
      </c>
    </row>
    <row r="12" customFormat="false" ht="15" hidden="false" customHeight="false" outlineLevel="0" collapsed="false">
      <c r="B12" s="22" t="s">
        <v>105</v>
      </c>
      <c r="D12" s="31" t="n">
        <f aca="false">-Financials!$F$21/Trading!$D$7</f>
        <v>0.0345375543140906</v>
      </c>
    </row>
    <row r="13" customFormat="false" ht="15" hidden="false" customHeight="false" outlineLevel="0" collapsed="false">
      <c r="B13" s="22" t="s">
        <v>106</v>
      </c>
      <c r="D13" s="31" t="n">
        <f aca="false">Financials!$F$20/Trading!$D$9</f>
        <v>0.0475058839659073</v>
      </c>
    </row>
    <row r="14" customFormat="false" ht="15" hidden="false" customHeight="false" outlineLevel="0" collapsed="false">
      <c r="B14" s="27" t="s">
        <v>107</v>
      </c>
      <c r="D14" s="31" t="n">
        <f aca="false">Trading!$D$5/2-1</f>
        <v>1.685</v>
      </c>
    </row>
    <row r="16" customFormat="false" ht="15.75" hidden="false" customHeight="true" outlineLevel="0" collapsed="false">
      <c r="B16" s="26" t="s">
        <v>108</v>
      </c>
      <c r="C16" s="1"/>
      <c r="D16" s="1"/>
      <c r="E16" s="1"/>
      <c r="F16" s="1"/>
      <c r="G16" s="1"/>
    </row>
    <row r="17" customFormat="false" ht="18" hidden="false" customHeight="true" outlineLevel="0" collapsed="false">
      <c r="B17" s="27" t="s">
        <v>109</v>
      </c>
      <c r="C17" s="28" t="s">
        <v>110</v>
      </c>
      <c r="D17" s="28" t="s">
        <v>111</v>
      </c>
      <c r="E17" s="28" t="s">
        <v>112</v>
      </c>
      <c r="F17" s="28" t="s">
        <v>113</v>
      </c>
      <c r="G17" s="28" t="s">
        <v>114</v>
      </c>
    </row>
    <row r="18" customFormat="false" ht="15" hidden="false" customHeight="false" outlineLevel="0" collapsed="false">
      <c r="B18" s="22" t="s">
        <v>115</v>
      </c>
      <c r="C18" s="22" t="s">
        <v>116</v>
      </c>
      <c r="D18" s="41" t="n">
        <v>26.3</v>
      </c>
      <c r="E18" s="42" t="n">
        <v>1</v>
      </c>
      <c r="F18" s="36" t="n">
        <f aca="false">IF(E18=1,D18,"")</f>
        <v>26.3</v>
      </c>
    </row>
    <row r="19" customFormat="false" ht="15" hidden="false" customHeight="false" outlineLevel="0" collapsed="false">
      <c r="B19" s="22" t="s">
        <v>117</v>
      </c>
      <c r="C19" s="22" t="s">
        <v>118</v>
      </c>
      <c r="D19" s="41" t="n">
        <v>27.7</v>
      </c>
      <c r="E19" s="42" t="n">
        <v>0</v>
      </c>
      <c r="F19" s="36" t="str">
        <f aca="false">IF(E19=1,D19,"")</f>
        <v/>
      </c>
      <c r="G19" s="5" t="s">
        <v>119</v>
      </c>
    </row>
    <row r="20" customFormat="false" ht="15" hidden="false" customHeight="false" outlineLevel="0" collapsed="false">
      <c r="B20" s="22" t="s">
        <v>120</v>
      </c>
      <c r="C20" s="22" t="s">
        <v>121</v>
      </c>
      <c r="D20" s="41" t="n">
        <v>7.2</v>
      </c>
      <c r="E20" s="42" t="n">
        <v>0</v>
      </c>
      <c r="F20" s="36" t="str">
        <f aca="false">IF(E20=1,D20,"")</f>
        <v/>
      </c>
      <c r="G20" s="5" t="s">
        <v>122</v>
      </c>
    </row>
    <row r="21" customFormat="false" ht="15" hidden="false" customHeight="false" outlineLevel="0" collapsed="false">
      <c r="B21" s="22" t="s">
        <v>123</v>
      </c>
      <c r="C21" s="22" t="s">
        <v>124</v>
      </c>
      <c r="D21" s="41" t="n">
        <v>15.5</v>
      </c>
      <c r="E21" s="42" t="n">
        <v>1</v>
      </c>
      <c r="F21" s="36" t="n">
        <f aca="false">IF(E21=1,D21,"")</f>
        <v>15.5</v>
      </c>
    </row>
    <row r="22" customFormat="false" ht="15" hidden="false" customHeight="false" outlineLevel="0" collapsed="false">
      <c r="B22" s="22" t="s">
        <v>125</v>
      </c>
      <c r="C22" s="22" t="s">
        <v>126</v>
      </c>
      <c r="D22" s="41" t="n">
        <v>16.9</v>
      </c>
      <c r="E22" s="42" t="n">
        <v>0</v>
      </c>
      <c r="F22" s="36" t="str">
        <f aca="false">IF(E22=1,D22,"")</f>
        <v/>
      </c>
      <c r="G22" s="5" t="s">
        <v>127</v>
      </c>
    </row>
    <row r="23" customFormat="false" ht="15" hidden="false" customHeight="false" outlineLevel="0" collapsed="false">
      <c r="B23" s="22" t="s">
        <v>128</v>
      </c>
      <c r="C23" s="22" t="s">
        <v>129</v>
      </c>
      <c r="D23" s="41" t="n">
        <v>12.1</v>
      </c>
      <c r="E23" s="42" t="n">
        <v>1</v>
      </c>
      <c r="F23" s="36" t="n">
        <f aca="false">IF(E23=1,D23,"")</f>
        <v>12.1</v>
      </c>
    </row>
    <row r="24" customFormat="false" ht="15" hidden="false" customHeight="false" outlineLevel="0" collapsed="false">
      <c r="B24" s="27" t="s">
        <v>130</v>
      </c>
      <c r="C24" s="22"/>
      <c r="D24" s="39" t="n">
        <f aca="false">Trading!$D$10</f>
        <v>20.213856812933</v>
      </c>
    </row>
    <row r="25" customFormat="false" ht="15" hidden="false" customHeight="false" outlineLevel="0" collapsed="false">
      <c r="B25" s="27" t="s">
        <v>131</v>
      </c>
      <c r="D25" s="36" t="n">
        <f aca="false">MEDIAN(F18:F23)</f>
        <v>15.5</v>
      </c>
    </row>
    <row r="26" customFormat="false" ht="15" hidden="false" customHeight="false" outlineLevel="0" collapsed="false">
      <c r="B26" s="27" t="s">
        <v>132</v>
      </c>
      <c r="D26" s="31" t="n">
        <f aca="false">Trading!$D$10/Trading!$D$25-1</f>
        <v>0.304119794382776</v>
      </c>
    </row>
    <row r="27" customFormat="false" ht="39.75" hidden="false" customHeight="true" outlineLevel="0" collapsed="false">
      <c r="B27" s="21" t="s">
        <v>133</v>
      </c>
      <c r="C27" s="21"/>
      <c r="D27" s="21"/>
      <c r="E27" s="21"/>
      <c r="F27" s="21"/>
      <c r="G27" s="21"/>
    </row>
  </sheetData>
  <mergeCells count="1">
    <mergeCell ref="B27:G2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Screen&amp;R&amp;"Arial,Regular"&amp;8Trading</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4"/>
    <col collapsed="false" customWidth="true" hidden="false" outlineLevel="0" max="3" min="3" style="0" width="10"/>
    <col collapsed="false" customWidth="true" hidden="false" outlineLevel="0" max="4" min="4" style="0" width="13"/>
    <col collapsed="false" customWidth="true" hidden="false" outlineLevel="0" max="5" min="5" style="0" width="46"/>
    <col collapsed="false" customWidth="true" hidden="false" outlineLevel="0" max="10" min="6" style="0" width="10"/>
    <col collapsed="false" customWidth="true" hidden="false" outlineLevel="0" max="11" min="11" style="0" width="11"/>
    <col collapsed="false" customWidth="true" hidden="false" outlineLevel="0" max="12" min="12" style="0" width="8"/>
    <col collapsed="false" customWidth="true" hidden="false" outlineLevel="0" max="13" min="13" style="0" width="34"/>
  </cols>
  <sheetData>
    <row r="1" customFormat="false" ht="30" hidden="false" customHeight="true" outlineLevel="0" collapsed="false">
      <c r="A1" s="1"/>
      <c r="B1" s="23" t="s">
        <v>37</v>
      </c>
      <c r="C1" s="1"/>
      <c r="D1" s="1"/>
      <c r="E1" s="1"/>
      <c r="F1" s="1"/>
      <c r="G1" s="1"/>
      <c r="H1" s="1"/>
      <c r="I1" s="1"/>
      <c r="J1" s="1"/>
      <c r="K1" s="1"/>
      <c r="L1" s="1"/>
      <c r="M1" s="24" t="s">
        <v>38</v>
      </c>
    </row>
    <row r="2" customFormat="false" ht="18" hidden="false" customHeight="true" outlineLevel="0" collapsed="false">
      <c r="A2" s="1"/>
      <c r="B2" s="25" t="s">
        <v>134</v>
      </c>
      <c r="C2" s="1"/>
      <c r="D2" s="1"/>
      <c r="E2" s="1"/>
      <c r="F2" s="1"/>
      <c r="G2" s="1"/>
      <c r="H2" s="1"/>
      <c r="I2" s="1"/>
      <c r="J2" s="1"/>
      <c r="K2" s="1"/>
      <c r="L2" s="1"/>
      <c r="M2" s="1"/>
    </row>
    <row r="4" customFormat="false" ht="15.75" hidden="false" customHeight="true" outlineLevel="0" collapsed="false">
      <c r="B4" s="26" t="s">
        <v>135</v>
      </c>
      <c r="C4" s="1"/>
      <c r="D4" s="1"/>
      <c r="E4" s="1"/>
      <c r="F4" s="1"/>
      <c r="G4" s="1"/>
      <c r="H4" s="1"/>
      <c r="I4" s="1"/>
      <c r="J4" s="1"/>
      <c r="K4" s="1"/>
      <c r="L4" s="1"/>
      <c r="M4" s="1"/>
    </row>
    <row r="5" customFormat="false" ht="15" hidden="false" customHeight="false" outlineLevel="0" collapsed="false">
      <c r="B5" s="22" t="s">
        <v>136</v>
      </c>
      <c r="F5" s="43" t="n">
        <v>0.25</v>
      </c>
      <c r="G5" s="43" t="n">
        <v>0.2</v>
      </c>
      <c r="H5" s="43" t="n">
        <v>0.2</v>
      </c>
      <c r="I5" s="43" t="n">
        <v>0.15</v>
      </c>
      <c r="J5" s="43" t="n">
        <v>0.2</v>
      </c>
      <c r="K5" s="31" t="n">
        <f aca="false">SUM(F5:J5)</f>
        <v>1</v>
      </c>
    </row>
    <row r="7" customFormat="false" ht="15.75" hidden="false" customHeight="true" outlineLevel="0" collapsed="false">
      <c r="B7" s="26" t="s">
        <v>137</v>
      </c>
      <c r="C7" s="1"/>
      <c r="D7" s="1"/>
      <c r="E7" s="1"/>
      <c r="F7" s="1"/>
      <c r="G7" s="1"/>
      <c r="H7" s="1"/>
      <c r="I7" s="1"/>
      <c r="J7" s="1"/>
      <c r="K7" s="1"/>
      <c r="L7" s="1"/>
      <c r="M7" s="1"/>
    </row>
    <row r="8" customFormat="false" ht="30" hidden="false" customHeight="true" outlineLevel="0" collapsed="false">
      <c r="B8" s="27" t="s">
        <v>138</v>
      </c>
      <c r="C8" s="44" t="s">
        <v>139</v>
      </c>
      <c r="D8" s="44" t="s">
        <v>140</v>
      </c>
      <c r="E8" s="44" t="s">
        <v>141</v>
      </c>
      <c r="F8" s="44" t="s">
        <v>142</v>
      </c>
      <c r="G8" s="44" t="s">
        <v>143</v>
      </c>
      <c r="H8" s="44" t="s">
        <v>144</v>
      </c>
      <c r="I8" s="44" t="s">
        <v>145</v>
      </c>
      <c r="J8" s="44" t="s">
        <v>136</v>
      </c>
      <c r="K8" s="44" t="s">
        <v>146</v>
      </c>
      <c r="L8" s="44" t="s">
        <v>147</v>
      </c>
      <c r="M8" s="44" t="s">
        <v>148</v>
      </c>
    </row>
    <row r="9" customFormat="false" ht="27.75" hidden="false" customHeight="true" outlineLevel="0" collapsed="false">
      <c r="B9" s="27" t="s">
        <v>149</v>
      </c>
      <c r="C9" s="22" t="s">
        <v>150</v>
      </c>
      <c r="D9" s="22" t="s">
        <v>151</v>
      </c>
      <c r="E9" s="45" t="s">
        <v>152</v>
      </c>
      <c r="F9" s="46" t="n">
        <v>5</v>
      </c>
      <c r="G9" s="46" t="n">
        <v>5</v>
      </c>
      <c r="H9" s="46" t="n">
        <v>3</v>
      </c>
      <c r="I9" s="46" t="n">
        <v>2</v>
      </c>
      <c r="J9" s="46" t="n">
        <v>3</v>
      </c>
      <c r="K9" s="47" t="n">
        <f aca="false">SUMPRODUCT(F9:J9,$F$5:$J$5)</f>
        <v>3.75</v>
      </c>
      <c r="L9" s="48" t="n">
        <f aca="false">RANK(K9,$K$9:$K$20)</f>
        <v>10</v>
      </c>
      <c r="M9" s="45" t="s">
        <v>153</v>
      </c>
    </row>
    <row r="10" customFormat="false" ht="27.75" hidden="false" customHeight="true" outlineLevel="0" collapsed="false">
      <c r="B10" s="27" t="s">
        <v>154</v>
      </c>
      <c r="C10" s="22" t="s">
        <v>150</v>
      </c>
      <c r="D10" s="22" t="s">
        <v>155</v>
      </c>
      <c r="E10" s="45" t="s">
        <v>156</v>
      </c>
      <c r="F10" s="46" t="n">
        <v>5</v>
      </c>
      <c r="G10" s="46" t="n">
        <v>5</v>
      </c>
      <c r="H10" s="46" t="n">
        <v>5</v>
      </c>
      <c r="I10" s="46" t="n">
        <v>3</v>
      </c>
      <c r="J10" s="46" t="n">
        <v>3</v>
      </c>
      <c r="K10" s="47" t="n">
        <f aca="false">SUMPRODUCT(F10:J10,$F$5:$J$5)</f>
        <v>4.3</v>
      </c>
      <c r="L10" s="48" t="n">
        <f aca="false">RANK(K10,$K$9:$K$20)</f>
        <v>1</v>
      </c>
      <c r="M10" s="45" t="s">
        <v>157</v>
      </c>
    </row>
    <row r="11" customFormat="false" ht="27.75" hidden="false" customHeight="true" outlineLevel="0" collapsed="false">
      <c r="B11" s="27" t="s">
        <v>158</v>
      </c>
      <c r="C11" s="22" t="s">
        <v>150</v>
      </c>
      <c r="D11" s="22" t="s">
        <v>159</v>
      </c>
      <c r="E11" s="45" t="s">
        <v>160</v>
      </c>
      <c r="F11" s="46" t="n">
        <v>5</v>
      </c>
      <c r="G11" s="46" t="n">
        <v>5</v>
      </c>
      <c r="H11" s="46" t="n">
        <v>4</v>
      </c>
      <c r="I11" s="46" t="n">
        <v>2</v>
      </c>
      <c r="J11" s="46" t="n">
        <v>3</v>
      </c>
      <c r="K11" s="47" t="n">
        <f aca="false">SUMPRODUCT(F11:J11,$F$5:$J$5)</f>
        <v>3.95</v>
      </c>
      <c r="L11" s="48" t="n">
        <f aca="false">RANK(K11,$K$9:$K$20)</f>
        <v>8</v>
      </c>
      <c r="M11" s="45" t="s">
        <v>161</v>
      </c>
    </row>
    <row r="12" customFormat="false" ht="27.75" hidden="false" customHeight="true" outlineLevel="0" collapsed="false">
      <c r="B12" s="27" t="s">
        <v>162</v>
      </c>
      <c r="C12" s="22" t="s">
        <v>150</v>
      </c>
      <c r="D12" s="22" t="s">
        <v>163</v>
      </c>
      <c r="E12" s="45" t="s">
        <v>164</v>
      </c>
      <c r="F12" s="46" t="n">
        <v>5</v>
      </c>
      <c r="G12" s="46" t="n">
        <v>5</v>
      </c>
      <c r="H12" s="46" t="n">
        <v>4</v>
      </c>
      <c r="I12" s="46" t="n">
        <v>3</v>
      </c>
      <c r="J12" s="46" t="n">
        <v>3</v>
      </c>
      <c r="K12" s="47" t="n">
        <f aca="false">SUMPRODUCT(F12:J12,$F$5:$J$5)</f>
        <v>4.1</v>
      </c>
      <c r="L12" s="48" t="n">
        <f aca="false">RANK(K12,$K$9:$K$20)</f>
        <v>4</v>
      </c>
      <c r="M12" s="45" t="s">
        <v>165</v>
      </c>
    </row>
    <row r="13" customFormat="false" ht="27.75" hidden="false" customHeight="true" outlineLevel="0" collapsed="false">
      <c r="B13" s="27" t="s">
        <v>166</v>
      </c>
      <c r="C13" s="22" t="s">
        <v>150</v>
      </c>
      <c r="D13" s="22" t="s">
        <v>167</v>
      </c>
      <c r="E13" s="45" t="s">
        <v>168</v>
      </c>
      <c r="F13" s="46" t="n">
        <v>4</v>
      </c>
      <c r="G13" s="46" t="n">
        <v>4</v>
      </c>
      <c r="H13" s="46" t="n">
        <v>2</v>
      </c>
      <c r="I13" s="46" t="n">
        <v>2</v>
      </c>
      <c r="J13" s="46" t="n">
        <v>2</v>
      </c>
      <c r="K13" s="47" t="n">
        <f aca="false">SUMPRODUCT(F13:J13,$F$5:$J$5)</f>
        <v>2.9</v>
      </c>
      <c r="L13" s="48" t="n">
        <f aca="false">RANK(K13,$K$9:$K$20)</f>
        <v>12</v>
      </c>
      <c r="M13" s="45" t="s">
        <v>169</v>
      </c>
    </row>
    <row r="14" customFormat="false" ht="27.75" hidden="false" customHeight="true" outlineLevel="0" collapsed="false">
      <c r="B14" s="27" t="s">
        <v>170</v>
      </c>
      <c r="C14" s="22" t="s">
        <v>171</v>
      </c>
      <c r="D14" s="22" t="s">
        <v>172</v>
      </c>
      <c r="E14" s="45" t="s">
        <v>173</v>
      </c>
      <c r="F14" s="46" t="n">
        <v>4</v>
      </c>
      <c r="G14" s="46" t="n">
        <v>3</v>
      </c>
      <c r="H14" s="46" t="n">
        <v>5</v>
      </c>
      <c r="I14" s="46" t="n">
        <v>4</v>
      </c>
      <c r="J14" s="46" t="n">
        <v>4</v>
      </c>
      <c r="K14" s="47" t="n">
        <f aca="false">SUMPRODUCT(F14:J14,$F$5:$J$5)</f>
        <v>4</v>
      </c>
      <c r="L14" s="48" t="n">
        <f aca="false">RANK(K14,$K$9:$K$20)</f>
        <v>7</v>
      </c>
      <c r="M14" s="45" t="s">
        <v>174</v>
      </c>
    </row>
    <row r="15" customFormat="false" ht="27.75" hidden="false" customHeight="true" outlineLevel="0" collapsed="false">
      <c r="B15" s="27" t="s">
        <v>175</v>
      </c>
      <c r="C15" s="22" t="s">
        <v>171</v>
      </c>
      <c r="D15" s="22" t="s">
        <v>176</v>
      </c>
      <c r="E15" s="45" t="s">
        <v>177</v>
      </c>
      <c r="F15" s="46" t="n">
        <v>4</v>
      </c>
      <c r="G15" s="46" t="n">
        <v>4</v>
      </c>
      <c r="H15" s="46" t="n">
        <v>5</v>
      </c>
      <c r="I15" s="46" t="n">
        <v>4</v>
      </c>
      <c r="J15" s="46" t="n">
        <v>4</v>
      </c>
      <c r="K15" s="47" t="n">
        <f aca="false">SUMPRODUCT(F15:J15,$F$5:$J$5)</f>
        <v>4.2</v>
      </c>
      <c r="L15" s="48" t="n">
        <f aca="false">RANK(K15,$K$9:$K$20)</f>
        <v>2</v>
      </c>
      <c r="M15" s="45" t="s">
        <v>178</v>
      </c>
    </row>
    <row r="16" customFormat="false" ht="27.75" hidden="false" customHeight="true" outlineLevel="0" collapsed="false">
      <c r="B16" s="27" t="s">
        <v>179</v>
      </c>
      <c r="C16" s="22" t="s">
        <v>171</v>
      </c>
      <c r="D16" s="22" t="s">
        <v>151</v>
      </c>
      <c r="E16" s="45" t="s">
        <v>180</v>
      </c>
      <c r="F16" s="46" t="n">
        <v>4</v>
      </c>
      <c r="G16" s="46" t="n">
        <v>5</v>
      </c>
      <c r="H16" s="46" t="n">
        <v>5</v>
      </c>
      <c r="I16" s="46" t="n">
        <v>3</v>
      </c>
      <c r="J16" s="46" t="n">
        <v>3</v>
      </c>
      <c r="K16" s="47" t="n">
        <f aca="false">SUMPRODUCT(F16:J16,$F$5:$J$5)</f>
        <v>4.05</v>
      </c>
      <c r="L16" s="48" t="n">
        <f aca="false">RANK(K16,$K$9:$K$20)</f>
        <v>6</v>
      </c>
      <c r="M16" s="45" t="s">
        <v>181</v>
      </c>
    </row>
    <row r="17" customFormat="false" ht="27.75" hidden="false" customHeight="true" outlineLevel="0" collapsed="false">
      <c r="B17" s="27" t="s">
        <v>182</v>
      </c>
      <c r="C17" s="22" t="s">
        <v>171</v>
      </c>
      <c r="D17" s="22" t="s">
        <v>172</v>
      </c>
      <c r="E17" s="45" t="s">
        <v>183</v>
      </c>
      <c r="F17" s="46" t="n">
        <v>4</v>
      </c>
      <c r="G17" s="46" t="n">
        <v>4</v>
      </c>
      <c r="H17" s="46" t="n">
        <v>5</v>
      </c>
      <c r="I17" s="46" t="n">
        <v>4</v>
      </c>
      <c r="J17" s="46" t="n">
        <v>4</v>
      </c>
      <c r="K17" s="47" t="n">
        <f aca="false">SUMPRODUCT(F17:J17,$F$5:$J$5)</f>
        <v>4.2</v>
      </c>
      <c r="L17" s="48" t="n">
        <f aca="false">RANK(K17,$K$9:$K$20)</f>
        <v>2</v>
      </c>
      <c r="M17" s="45" t="s">
        <v>184</v>
      </c>
    </row>
    <row r="18" customFormat="false" ht="27.75" hidden="false" customHeight="true" outlineLevel="0" collapsed="false">
      <c r="B18" s="27" t="s">
        <v>185</v>
      </c>
      <c r="C18" s="22" t="s">
        <v>171</v>
      </c>
      <c r="D18" s="22" t="s">
        <v>186</v>
      </c>
      <c r="E18" s="45" t="s">
        <v>187</v>
      </c>
      <c r="F18" s="46" t="n">
        <v>3</v>
      </c>
      <c r="G18" s="46" t="n">
        <v>4</v>
      </c>
      <c r="H18" s="46" t="n">
        <v>3</v>
      </c>
      <c r="I18" s="46" t="n">
        <v>3</v>
      </c>
      <c r="J18" s="46" t="n">
        <v>3</v>
      </c>
      <c r="K18" s="47" t="n">
        <f aca="false">SUMPRODUCT(F18:J18,$F$5:$J$5)</f>
        <v>3.2</v>
      </c>
      <c r="L18" s="48" t="n">
        <f aca="false">RANK(K18,$K$9:$K$20)</f>
        <v>11</v>
      </c>
      <c r="M18" s="45" t="s">
        <v>188</v>
      </c>
    </row>
    <row r="19" customFormat="false" ht="27.75" hidden="false" customHeight="true" outlineLevel="0" collapsed="false">
      <c r="B19" s="27" t="s">
        <v>189</v>
      </c>
      <c r="C19" s="22" t="s">
        <v>190</v>
      </c>
      <c r="D19" s="22" t="s">
        <v>191</v>
      </c>
      <c r="E19" s="45" t="s">
        <v>192</v>
      </c>
      <c r="F19" s="46" t="n">
        <v>3</v>
      </c>
      <c r="G19" s="46" t="n">
        <v>2</v>
      </c>
      <c r="H19" s="46" t="n">
        <v>5</v>
      </c>
      <c r="I19" s="46" t="n">
        <v>5</v>
      </c>
      <c r="J19" s="46" t="n">
        <v>5</v>
      </c>
      <c r="K19" s="47" t="n">
        <f aca="false">SUMPRODUCT(F19:J19,$F$5:$J$5)</f>
        <v>3.9</v>
      </c>
      <c r="L19" s="48" t="n">
        <f aca="false">RANK(K19,$K$9:$K$20)</f>
        <v>9</v>
      </c>
      <c r="M19" s="45" t="s">
        <v>193</v>
      </c>
    </row>
    <row r="20" customFormat="false" ht="27.75" hidden="false" customHeight="true" outlineLevel="0" collapsed="false">
      <c r="B20" s="27" t="s">
        <v>194</v>
      </c>
      <c r="C20" s="22" t="s">
        <v>190</v>
      </c>
      <c r="D20" s="22" t="s">
        <v>195</v>
      </c>
      <c r="E20" s="45" t="s">
        <v>196</v>
      </c>
      <c r="F20" s="46" t="n">
        <v>3</v>
      </c>
      <c r="G20" s="46" t="n">
        <v>3</v>
      </c>
      <c r="H20" s="46" t="n">
        <v>5</v>
      </c>
      <c r="I20" s="46" t="n">
        <v>5</v>
      </c>
      <c r="J20" s="46" t="n">
        <v>5</v>
      </c>
      <c r="K20" s="47" t="n">
        <f aca="false">SUMPRODUCT(F20:J20,$F$5:$J$5)</f>
        <v>4.1</v>
      </c>
      <c r="L20" s="48" t="n">
        <f aca="false">RANK(K20,$K$9:$K$20)</f>
        <v>4</v>
      </c>
      <c r="M20" s="45" t="s">
        <v>197</v>
      </c>
    </row>
    <row r="22" customFormat="false" ht="15" hidden="false" customHeight="false" outlineLevel="0" collapsed="false">
      <c r="B22" s="27" t="s">
        <v>22</v>
      </c>
      <c r="E22" s="49" t="str">
        <f aca="false">INDEX($B$9:$B$20,MATCH(MAX('Buyer Screen'!$K$9:$K$20),'Buyer Screen'!$K$9:$K$20,0))</f>
        <v>Vinci Concessions</v>
      </c>
    </row>
    <row r="23" customFormat="false" ht="15" hidden="false" customHeight="false" outlineLevel="0" collapsed="false">
      <c r="B23" s="22" t="s">
        <v>198</v>
      </c>
      <c r="E23" s="50" t="n">
        <f aca="false">MAX('Buyer Screen'!$K$9:$K$20)</f>
        <v>4.3</v>
      </c>
    </row>
    <row r="24" customFormat="false" ht="15" hidden="false" customHeight="false" outlineLevel="0" collapsed="false">
      <c r="B24" s="22" t="s">
        <v>199</v>
      </c>
      <c r="E24" s="51" t="n">
        <f aca="false">SUMPRODUCT((C9:C20&lt;&gt;"Strategic")*(L9:L20&lt;=5))</f>
        <v>3</v>
      </c>
    </row>
    <row r="25" customFormat="false" ht="55.5" hidden="false" customHeight="true" outlineLevel="0" collapsed="false">
      <c r="B25" s="21" t="s">
        <v>200</v>
      </c>
      <c r="C25" s="21"/>
      <c r="D25" s="21"/>
      <c r="E25" s="21"/>
      <c r="F25" s="21"/>
      <c r="G25" s="21"/>
      <c r="H25" s="21"/>
      <c r="I25" s="21"/>
      <c r="J25" s="21"/>
      <c r="K25" s="21"/>
      <c r="L25" s="21"/>
      <c r="M25" s="21"/>
    </row>
  </sheetData>
  <mergeCells count="1">
    <mergeCell ref="B25:M25"/>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Screen&amp;R&amp;"Arial,Regular"&amp;8Buyer Screen</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7" min="3" style="0" width="13"/>
  </cols>
  <sheetData>
    <row r="1" customFormat="false" ht="30" hidden="false" customHeight="true" outlineLevel="0" collapsed="false">
      <c r="A1" s="1"/>
      <c r="B1" s="23" t="s">
        <v>37</v>
      </c>
      <c r="C1" s="1"/>
      <c r="D1" s="1"/>
      <c r="E1" s="1"/>
      <c r="F1" s="24" t="s">
        <v>38</v>
      </c>
    </row>
    <row r="2" customFormat="false" ht="18" hidden="false" customHeight="true" outlineLevel="0" collapsed="false">
      <c r="A2" s="1"/>
      <c r="B2" s="25" t="s">
        <v>201</v>
      </c>
      <c r="C2" s="1"/>
      <c r="D2" s="1"/>
      <c r="E2" s="1"/>
      <c r="F2" s="1"/>
    </row>
    <row r="4" customFormat="false" ht="15.75" hidden="false" customHeight="true" outlineLevel="0" collapsed="false">
      <c r="B4" s="26" t="s">
        <v>202</v>
      </c>
      <c r="C4" s="1"/>
      <c r="D4" s="1"/>
      <c r="E4" s="1"/>
      <c r="F4" s="1"/>
    </row>
    <row r="5" customFormat="false" ht="15" hidden="false" customHeight="false" outlineLevel="0" collapsed="false">
      <c r="B5" s="22" t="s">
        <v>203</v>
      </c>
      <c r="C5" s="37" t="n">
        <f aca="false">Financials!$F$8</f>
        <v>2165</v>
      </c>
    </row>
    <row r="6" customFormat="false" ht="64.15" hidden="false" customHeight="false" outlineLevel="0" collapsed="false">
      <c r="B6" s="22" t="s">
        <v>204</v>
      </c>
      <c r="C6" s="30" t="n">
        <v>0.06</v>
      </c>
      <c r="F6" s="45" t="s">
        <v>205</v>
      </c>
    </row>
    <row r="7" customFormat="false" ht="15" hidden="false" customHeight="false" outlineLevel="0" collapsed="false">
      <c r="B7" s="22" t="s">
        <v>51</v>
      </c>
      <c r="C7" s="30" t="n">
        <v>0.09</v>
      </c>
    </row>
    <row r="8" customFormat="false" ht="15" hidden="false" customHeight="false" outlineLevel="0" collapsed="false">
      <c r="B8" s="22" t="s">
        <v>206</v>
      </c>
      <c r="C8" s="30" t="n">
        <v>0.07</v>
      </c>
    </row>
    <row r="9" customFormat="false" ht="15" hidden="false" customHeight="false" outlineLevel="0" collapsed="false">
      <c r="B9" s="22" t="s">
        <v>207</v>
      </c>
      <c r="C9" s="30" t="n">
        <v>0.005</v>
      </c>
    </row>
    <row r="10" customFormat="false" ht="15" hidden="false" customHeight="false" outlineLevel="0" collapsed="false">
      <c r="B10" s="22" t="s">
        <v>208</v>
      </c>
      <c r="C10" s="37" t="n">
        <f aca="false">Financials!$F$28</f>
        <v>3488</v>
      </c>
    </row>
    <row r="11" customFormat="false" ht="15" hidden="false" customHeight="false" outlineLevel="0" collapsed="false">
      <c r="B11" s="22" t="s">
        <v>209</v>
      </c>
      <c r="C11" s="33" t="n">
        <f aca="false">'Ability to Pay'!$C$5*(1+'Ability to Pay'!$C$6)^5</f>
        <v>2897.258375504</v>
      </c>
    </row>
    <row r="13" customFormat="false" ht="15.75" hidden="false" customHeight="true" outlineLevel="0" collapsed="false">
      <c r="B13" s="26" t="s">
        <v>210</v>
      </c>
      <c r="C13" s="1"/>
      <c r="D13" s="1"/>
      <c r="E13" s="1"/>
      <c r="F13" s="1"/>
    </row>
    <row r="14" customFormat="false" ht="74.6" hidden="false" customHeight="false" outlineLevel="0" collapsed="false">
      <c r="B14" s="22" t="s">
        <v>211</v>
      </c>
      <c r="C14" s="41" t="n">
        <v>6</v>
      </c>
      <c r="F14" s="45" t="s">
        <v>212</v>
      </c>
    </row>
    <row r="15" customFormat="false" ht="15" hidden="false" customHeight="false" outlineLevel="0" collapsed="false">
      <c r="B15" s="22" t="s">
        <v>213</v>
      </c>
      <c r="C15" s="30" t="n">
        <v>0.06</v>
      </c>
    </row>
    <row r="16" customFormat="false" ht="32.8" hidden="false" customHeight="false" outlineLevel="0" collapsed="false">
      <c r="B16" s="22" t="s">
        <v>214</v>
      </c>
      <c r="C16" s="41" t="n">
        <v>18</v>
      </c>
      <c r="F16" s="45" t="s">
        <v>215</v>
      </c>
    </row>
    <row r="17" customFormat="false" ht="53.7" hidden="false" customHeight="false" outlineLevel="0" collapsed="false">
      <c r="B17" s="22" t="s">
        <v>216</v>
      </c>
      <c r="C17" s="30" t="n">
        <v>0.13</v>
      </c>
      <c r="F17" s="45" t="s">
        <v>217</v>
      </c>
    </row>
    <row r="18" customFormat="false" ht="15" hidden="false" customHeight="false" outlineLevel="0" collapsed="false">
      <c r="B18" s="22" t="s">
        <v>218</v>
      </c>
      <c r="C18" s="33" t="n">
        <f aca="false">'Ability to Pay'!$C$5*'Ability to Pay'!$C$14</f>
        <v>12990</v>
      </c>
    </row>
    <row r="19" customFormat="false" ht="15" hidden="false" customHeight="false" outlineLevel="0" collapsed="false">
      <c r="B19" s="52" t="s">
        <v>219</v>
      </c>
      <c r="C19" s="11"/>
      <c r="D19" s="11"/>
      <c r="E19" s="11"/>
      <c r="F19" s="11"/>
    </row>
    <row r="20" customFormat="false" ht="15" hidden="false" customHeight="false" outlineLevel="0" collapsed="false">
      <c r="B20" s="22" t="s">
        <v>220</v>
      </c>
      <c r="C20" s="33" t="n">
        <f aca="false">'Ability to Pay'!$C$18</f>
        <v>12990</v>
      </c>
      <c r="D20" s="33" t="n">
        <f aca="false">C24</f>
        <v>11607.91163</v>
      </c>
      <c r="E20" s="33" t="n">
        <f aca="false">D24</f>
        <v>10024.880692798</v>
      </c>
      <c r="F20" s="33" t="n">
        <f aca="false">E24</f>
        <v>8222.40689169277</v>
      </c>
      <c r="G20" s="33" t="n">
        <f aca="false">F24</f>
        <v>6180.52808383128</v>
      </c>
    </row>
    <row r="21" customFormat="false" ht="15" hidden="false" customHeight="false" outlineLevel="0" collapsed="false">
      <c r="B21" s="22" t="s">
        <v>47</v>
      </c>
      <c r="C21" s="33" t="n">
        <f aca="false">'Ability to Pay'!$C$5*(1+'Ability to Pay'!$C$6)^1</f>
        <v>2294.9</v>
      </c>
      <c r="D21" s="33" t="n">
        <f aca="false">'Ability to Pay'!$C$5*(1+'Ability to Pay'!$C$6)^2</f>
        <v>2432.594</v>
      </c>
      <c r="E21" s="33" t="n">
        <f aca="false">'Ability to Pay'!$C$5*(1+'Ability to Pay'!$C$6)^3</f>
        <v>2578.54964</v>
      </c>
      <c r="F21" s="33" t="n">
        <f aca="false">'Ability to Pay'!$C$5*(1+'Ability to Pay'!$C$6)^4</f>
        <v>2733.2626184</v>
      </c>
      <c r="G21" s="33" t="n">
        <f aca="false">'Ability to Pay'!$C$5*(1+'Ability to Pay'!$C$6)^5</f>
        <v>2897.258375504</v>
      </c>
    </row>
    <row r="22" customFormat="false" ht="15" hidden="false" customHeight="false" outlineLevel="0" collapsed="false">
      <c r="B22" s="22" t="s">
        <v>221</v>
      </c>
      <c r="C22" s="33" t="n">
        <f aca="false">-C20*'Ability to Pay'!$C$15</f>
        <v>-779.4</v>
      </c>
      <c r="D22" s="33" t="n">
        <f aca="false">-D20*'Ability to Pay'!$C$15</f>
        <v>-696.4746978</v>
      </c>
      <c r="E22" s="33" t="n">
        <f aca="false">-E20*'Ability to Pay'!$C$15</f>
        <v>-601.49284156788</v>
      </c>
      <c r="F22" s="33" t="n">
        <f aca="false">-F20*'Ability to Pay'!$C$15</f>
        <v>-493.344413501566</v>
      </c>
      <c r="G22" s="33" t="n">
        <f aca="false">-G20*'Ability to Pay'!$C$15</f>
        <v>-370.831685029877</v>
      </c>
    </row>
    <row r="23" customFormat="false" ht="15" hidden="false" customHeight="false" outlineLevel="0" collapsed="false">
      <c r="B23" s="22" t="s">
        <v>222</v>
      </c>
      <c r="C23" s="33" t="n">
        <f aca="false">(C21+C22-C21*'Ability to Pay'!$C$8)*(1-'Ability to Pay'!$C$7)+C21*'Ability to Pay'!$C$8-C21*'Ability to Pay'!$C$9</f>
        <v>1382.08837</v>
      </c>
      <c r="D23" s="33" t="n">
        <f aca="false">(D21+D22-D21*'Ability to Pay'!$C$8)*(1-'Ability to Pay'!$C$7)+D21*'Ability to Pay'!$C$8-D21*'Ability to Pay'!$C$9</f>
        <v>1583.030937202</v>
      </c>
      <c r="E23" s="33" t="n">
        <f aca="false">(E21+E22-E21*'Ability to Pay'!$C$8)*(1-'Ability to Pay'!$C$7)+E21*'Ability to Pay'!$C$8-E21*'Ability to Pay'!$C$9</f>
        <v>1802.47380110523</v>
      </c>
      <c r="F23" s="33" t="n">
        <f aca="false">(F21+F22-F21*'Ability to Pay'!$C$8)*(1-'Ability to Pay'!$C$7)+F21*'Ability to Pay'!$C$8-F21*'Ability to Pay'!$C$9</f>
        <v>2041.8788078615</v>
      </c>
      <c r="G23" s="33" t="n">
        <f aca="false">(G21+G22-G21*'Ability to Pay'!$C$8)*(1-'Ability to Pay'!$C$7)+G21*'Ability to Pay'!$C$8-G21*'Ability to Pay'!$C$9</f>
        <v>2302.81472421961</v>
      </c>
    </row>
    <row r="24" customFormat="false" ht="15" hidden="false" customHeight="false" outlineLevel="0" collapsed="false">
      <c r="B24" s="27" t="s">
        <v>223</v>
      </c>
      <c r="C24" s="35" t="n">
        <f aca="false">MAX(0,C20-C23)</f>
        <v>11607.91163</v>
      </c>
      <c r="D24" s="35" t="n">
        <f aca="false">MAX(0,D20-D23)</f>
        <v>10024.880692798</v>
      </c>
      <c r="E24" s="35" t="n">
        <f aca="false">MAX(0,E20-E23)</f>
        <v>8222.40689169277</v>
      </c>
      <c r="F24" s="35" t="n">
        <f aca="false">MAX(0,F20-F23)</f>
        <v>6180.52808383128</v>
      </c>
      <c r="G24" s="35" t="n">
        <f aca="false">MAX(0,G20-G23)</f>
        <v>3877.71335961167</v>
      </c>
    </row>
    <row r="26" customFormat="false" ht="15" hidden="false" customHeight="false" outlineLevel="0" collapsed="false">
      <c r="B26" s="22" t="s">
        <v>224</v>
      </c>
      <c r="C26" s="33" t="n">
        <f aca="false">'Ability to Pay'!$C$11*'Ability to Pay'!$C$16</f>
        <v>52150.650759072</v>
      </c>
    </row>
    <row r="27" customFormat="false" ht="15" hidden="false" customHeight="false" outlineLevel="0" collapsed="false">
      <c r="B27" s="27" t="s">
        <v>225</v>
      </c>
      <c r="C27" s="33" t="n">
        <f aca="false">'Ability to Pay'!$C$26-'Ability to Pay'!$G$24</f>
        <v>48272.9373994603</v>
      </c>
    </row>
    <row r="28" customFormat="false" ht="15" hidden="false" customHeight="false" outlineLevel="0" collapsed="false">
      <c r="B28" s="27" t="s">
        <v>226</v>
      </c>
      <c r="C28" s="33" t="n">
        <f aca="false">'Ability to Pay'!$C$27/(1+'Ability to Pay'!$C$17)^5</f>
        <v>26200.6164134365</v>
      </c>
    </row>
    <row r="29" customFormat="false" ht="15" hidden="false" customHeight="false" outlineLevel="0" collapsed="false">
      <c r="B29" s="22" t="s">
        <v>227</v>
      </c>
      <c r="C29" s="30" t="n">
        <v>0.02</v>
      </c>
    </row>
    <row r="30" customFormat="false" ht="15" hidden="false" customHeight="false" outlineLevel="0" collapsed="false">
      <c r="B30" s="27" t="s">
        <v>228</v>
      </c>
      <c r="C30" s="35" t="n">
        <f aca="false">('Ability to Pay'!$C$28+'Ability to Pay'!$C$18)/(1+'Ability to Pay'!$C$29)</f>
        <v>38422.1729543495</v>
      </c>
    </row>
    <row r="31" customFormat="false" ht="15" hidden="false" customHeight="false" outlineLevel="0" collapsed="false">
      <c r="B31" s="27" t="s">
        <v>229</v>
      </c>
      <c r="C31" s="53" t="n">
        <f aca="false">('Ability to Pay'!$C$30-'Ability to Pay'!$C$10)/7500</f>
        <v>4.6578897272466</v>
      </c>
    </row>
    <row r="32" customFormat="false" ht="15" hidden="false" customHeight="false" outlineLevel="0" collapsed="false">
      <c r="B32" s="22" t="s">
        <v>230</v>
      </c>
      <c r="C32" s="31" t="n">
        <f aca="false">'Ability to Pay'!$C$31/Trading!$D$5-1</f>
        <v>-0.132608989339553</v>
      </c>
    </row>
    <row r="34" customFormat="false" ht="15.75" hidden="false" customHeight="true" outlineLevel="0" collapsed="false">
      <c r="B34" s="26" t="s">
        <v>231</v>
      </c>
      <c r="C34" s="1"/>
      <c r="D34" s="1"/>
      <c r="E34" s="1"/>
      <c r="F34" s="1"/>
    </row>
    <row r="35" customFormat="false" ht="15" hidden="false" customHeight="false" outlineLevel="0" collapsed="false">
      <c r="B35" s="22" t="s">
        <v>232</v>
      </c>
      <c r="C35" s="30" t="n">
        <v>0.07</v>
      </c>
    </row>
    <row r="36" customFormat="false" ht="74.6" hidden="false" customHeight="false" outlineLevel="0" collapsed="false">
      <c r="B36" s="22" t="s">
        <v>233</v>
      </c>
      <c r="C36" s="30" t="n">
        <v>0.03</v>
      </c>
      <c r="F36" s="45" t="s">
        <v>234</v>
      </c>
    </row>
    <row r="37" customFormat="false" ht="15" hidden="false" customHeight="false" outlineLevel="0" collapsed="false">
      <c r="B37" s="22" t="s">
        <v>235</v>
      </c>
      <c r="C37" s="54" t="n">
        <v>45</v>
      </c>
    </row>
    <row r="38" customFormat="false" ht="15" hidden="false" customHeight="false" outlineLevel="0" collapsed="false">
      <c r="B38" s="22" t="s">
        <v>236</v>
      </c>
      <c r="C38" s="30" t="n">
        <v>0.03</v>
      </c>
    </row>
    <row r="39" customFormat="false" ht="15" hidden="false" customHeight="false" outlineLevel="0" collapsed="false">
      <c r="B39" s="22" t="s">
        <v>237</v>
      </c>
      <c r="C39" s="33" t="n">
        <f aca="false">'Ability to Pay'!$C$5*(1+'Ability to Pay'!$C$6)*(1+'Ability to Pay'!$C$36)*(1-'Ability to Pay'!$C$8)*(1-'Ability to Pay'!$C$7)+'Ability to Pay'!$C$5*(1+'Ability to Pay'!$C$6)*'Ability to Pay'!$C$8-'Ability to Pay'!$C$5*(1+'Ability to Pay'!$C$6)*'Ability to Pay'!$C$9</f>
        <v>2149.6075861</v>
      </c>
    </row>
    <row r="40" customFormat="false" ht="15" hidden="false" customHeight="false" outlineLevel="0" collapsed="false">
      <c r="B40" s="22" t="s">
        <v>238</v>
      </c>
      <c r="C40" s="33" t="n">
        <f aca="false">'Ability to Pay'!$C$39/('Ability to Pay'!$C$35-'Ability to Pay'!$C$6)*(1-((1+'Ability to Pay'!$C$6)/(1+'Ability to Pay'!$C$35))^5)</f>
        <v>9858.88674632898</v>
      </c>
    </row>
    <row r="41" customFormat="false" ht="15" hidden="false" customHeight="false" outlineLevel="0" collapsed="false">
      <c r="B41" s="22" t="s">
        <v>239</v>
      </c>
      <c r="C41" s="33" t="n">
        <f aca="false">'Ability to Pay'!$C$39*(1+'Ability to Pay'!$C$6)^4*(1+'Ability to Pay'!$C$38)/('Ability to Pay'!$C$35-'Ability to Pay'!$C$38)*(1-((1+'Ability to Pay'!$C$38)/(1+'Ability to Pay'!$C$35))^('Ability to Pay'!$C$37-5))/(1+'Ability to Pay'!$C$35)^5</f>
        <v>38970.548997006</v>
      </c>
    </row>
    <row r="42" customFormat="false" ht="15" hidden="false" customHeight="false" outlineLevel="0" collapsed="false">
      <c r="B42" s="27" t="s">
        <v>240</v>
      </c>
      <c r="C42" s="35" t="n">
        <f aca="false">'Ability to Pay'!$C$40+'Ability to Pay'!$C$41</f>
        <v>48829.435743335</v>
      </c>
    </row>
    <row r="43" customFormat="false" ht="15" hidden="false" customHeight="false" outlineLevel="0" collapsed="false">
      <c r="B43" s="27" t="s">
        <v>241</v>
      </c>
      <c r="C43" s="53" t="n">
        <f aca="false">('Ability to Pay'!$C$42-'Ability to Pay'!$C$10)/7500</f>
        <v>6.045524765778</v>
      </c>
    </row>
    <row r="44" customFormat="false" ht="15" hidden="false" customHeight="false" outlineLevel="0" collapsed="false">
      <c r="B44" s="22" t="s">
        <v>230</v>
      </c>
      <c r="C44" s="31" t="n">
        <f aca="false">'Ability to Pay'!$C$43/Trading!$D$5-1</f>
        <v>0.125796045768714</v>
      </c>
    </row>
    <row r="45" customFormat="false" ht="15" hidden="false" customHeight="false" outlineLevel="0" collapsed="false">
      <c r="B45" s="22" t="s">
        <v>242</v>
      </c>
      <c r="C45" s="36" t="n">
        <f aca="false">'Ability to Pay'!$C$42/'Ability to Pay'!$C$5</f>
        <v>22.5540118906859</v>
      </c>
    </row>
    <row r="46" customFormat="false" ht="43.5" hidden="false" customHeight="true" outlineLevel="0" collapsed="false">
      <c r="B46" s="21" t="s">
        <v>243</v>
      </c>
      <c r="C46" s="21"/>
      <c r="D46" s="21"/>
      <c r="E46" s="21"/>
      <c r="F46" s="21"/>
    </row>
  </sheetData>
  <mergeCells count="1">
    <mergeCell ref="B46:F46"/>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Screen&amp;R&amp;"Arial,Regular"&amp;8Ability to Pay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3" t="s">
        <v>37</v>
      </c>
      <c r="C1" s="1"/>
      <c r="D1" s="1"/>
      <c r="E1" s="24" t="s">
        <v>38</v>
      </c>
    </row>
    <row r="2" customFormat="false" ht="18" hidden="false" customHeight="true" outlineLevel="0" collapsed="false">
      <c r="A2" s="1"/>
      <c r="B2" s="25" t="s">
        <v>244</v>
      </c>
      <c r="C2" s="1"/>
      <c r="D2" s="1"/>
      <c r="E2" s="1"/>
    </row>
    <row r="4" customFormat="false" ht="15.75" hidden="false" customHeight="true" outlineLevel="0" collapsed="false">
      <c r="B4" s="26" t="s">
        <v>245</v>
      </c>
      <c r="C4" s="1"/>
      <c r="D4" s="1"/>
      <c r="E4" s="1"/>
    </row>
    <row r="5" customFormat="false" ht="15" hidden="false" customHeight="false" outlineLevel="0" collapsed="false">
      <c r="B5" s="22" t="s">
        <v>246</v>
      </c>
      <c r="C5" s="55" t="b">
        <f aca="false">AND(ABS(Financials!$C$13-Financials!$C$14)&lt;2,ABS(Financials!$D$13-Financials!$D$14)&lt;2,ABS(Financials!$E$13-Financials!$E$14)&lt;2,ABS(Financials!$F$13-Financials!$F$14)&lt;2)</f>
        <v>1</v>
      </c>
    </row>
    <row r="6" customFormat="false" ht="15" hidden="false" customHeight="false" outlineLevel="0" collapsed="false">
      <c r="B6" s="22" t="s">
        <v>247</v>
      </c>
      <c r="C6" s="55" t="b">
        <f aca="false">AND(-Financials!$C$19/Financials!$C$8&lt;0.01,-Financials!$D$19/Financials!$D$8&lt;0.01,-Financials!$E$19/Financials!$E$8&lt;0.01,-Financials!$F$19/Financials!$F$8&lt;0.01)</f>
        <v>1</v>
      </c>
    </row>
    <row r="7" customFormat="false" ht="15" hidden="false" customHeight="false" outlineLevel="0" collapsed="false">
      <c r="B7" s="22" t="s">
        <v>248</v>
      </c>
      <c r="C7" s="55" t="b">
        <f aca="false">Financials!$F$29&lt;Financials!$C$29</f>
        <v>1</v>
      </c>
    </row>
    <row r="8" customFormat="false" ht="15" hidden="false" customHeight="false" outlineLevel="0" collapsed="false">
      <c r="B8" s="22" t="s">
        <v>249</v>
      </c>
      <c r="C8" s="55" t="b">
        <f aca="false">ABS(Trading!$D$7-5.37*7500)&lt;0.01</f>
        <v>1</v>
      </c>
    </row>
    <row r="9" customFormat="false" ht="15" hidden="false" customHeight="false" outlineLevel="0" collapsed="false">
      <c r="B9" s="22" t="s">
        <v>250</v>
      </c>
      <c r="C9" s="55" t="b">
        <f aca="false">AND(Trading!$D$5&gt;=4.96-0.05,Trading!$D$5&lt;=6.78+0.05)</f>
        <v>1</v>
      </c>
    </row>
    <row r="10" customFormat="false" ht="15" hidden="false" customHeight="false" outlineLevel="0" collapsed="false">
      <c r="B10" s="22" t="s">
        <v>251</v>
      </c>
      <c r="C10" s="55" t="b">
        <f aca="false">ISNUMBER(Trading!$D$25)</f>
        <v>1</v>
      </c>
    </row>
    <row r="11" customFormat="false" ht="15" hidden="false" customHeight="false" outlineLevel="0" collapsed="false">
      <c r="B11" s="22" t="s">
        <v>252</v>
      </c>
      <c r="C11" s="55" t="b">
        <f aca="false">ABS('Buyer Screen'!$K$5-1)&lt;0.0001</f>
        <v>1</v>
      </c>
    </row>
    <row r="12" customFormat="false" ht="15" hidden="false" customHeight="false" outlineLevel="0" collapsed="false">
      <c r="B12" s="22" t="s">
        <v>253</v>
      </c>
      <c r="C12" s="55" t="b">
        <f aca="false">AND(MIN('Buyer Screen'!F9:J20)&gt;=1,MAX('Buyer Screen'!F9:J20)&lt;=5)</f>
        <v>1</v>
      </c>
    </row>
    <row r="13" customFormat="false" ht="15" hidden="false" customHeight="false" outlineLevel="0" collapsed="false">
      <c r="B13" s="22" t="s">
        <v>254</v>
      </c>
      <c r="C13" s="55" t="b">
        <f aca="false">AND(MIN('Buyer Screen'!$K$9:$K$20)&gt;=1,MAX('Buyer Screen'!$K$9:$K$20)&lt;=5)</f>
        <v>1</v>
      </c>
    </row>
    <row r="14" customFormat="false" ht="15" hidden="false" customHeight="false" outlineLevel="0" collapsed="false">
      <c r="B14" s="22" t="s">
        <v>255</v>
      </c>
      <c r="C14" s="55" t="b">
        <f aca="false">AND('Ability to Pay'!$G$24&gt;=0,'Ability to Pay'!$G$24&lt;'Ability to Pay'!$C$18)</f>
        <v>1</v>
      </c>
    </row>
    <row r="15" customFormat="false" ht="15" hidden="false" customHeight="false" outlineLevel="0" collapsed="false">
      <c r="B15" s="22" t="s">
        <v>256</v>
      </c>
      <c r="C15" s="55" t="b">
        <f aca="false">'Ability to Pay'!$C$16&lt;=Trading!$D$10</f>
        <v>1</v>
      </c>
    </row>
    <row r="16" customFormat="false" ht="15" hidden="false" customHeight="false" outlineLevel="0" collapsed="false">
      <c r="B16" s="22" t="s">
        <v>257</v>
      </c>
      <c r="C16" s="55" t="b">
        <f aca="false">'Ability to Pay'!$C$35&gt;'Ability to Pay'!$C$38</f>
        <v>1</v>
      </c>
    </row>
    <row r="17" customFormat="false" ht="15" hidden="false" customHeight="false" outlineLevel="0" collapsed="false">
      <c r="B17" s="22" t="s">
        <v>258</v>
      </c>
      <c r="C17" s="55" t="b">
        <f aca="false">'Ability to Pay'!$C$43&gt;'Ability to Pay'!$C$31</f>
        <v>1</v>
      </c>
    </row>
    <row r="18" customFormat="false" ht="15" hidden="false" customHeight="false" outlineLevel="0" collapsed="false">
      <c r="B18" s="22" t="s">
        <v>259</v>
      </c>
      <c r="C18" s="55" t="b">
        <f aca="false">ABS(0.751+0.249-1)&lt;0.001</f>
        <v>1</v>
      </c>
    </row>
    <row r="20" customFormat="false" ht="15" hidden="false" customHeight="false" outlineLevel="0" collapsed="false">
      <c r="B20" s="56" t="s">
        <v>260</v>
      </c>
      <c r="C20" s="57" t="str">
        <f aca="false">IF(COUNTIF(C5:C18,FALSE())=0,"MODEL OK","CHECK FAILED")</f>
        <v>MODEL OK</v>
      </c>
    </row>
    <row r="22" customFormat="false" ht="33.75" hidden="false" customHeight="true" outlineLevel="0" collapsed="false">
      <c r="B22" s="21" t="s">
        <v>261</v>
      </c>
      <c r="C22" s="21"/>
      <c r="D22" s="21"/>
      <c r="E22" s="21"/>
    </row>
  </sheetData>
  <mergeCells count="1">
    <mergeCell ref="B22:E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&amp;L&amp;"Arial,Bold"&amp;8Salik — Company Profile and Buyer Screen&amp;R&amp;"Arial,Regular"&amp;8Checks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2026-09-18T08:49:00Z</dcterms:created>
  <dc:creator>openpyxl</dc:creator>
  <dc:description/>
  <dc:language>en-US</dc:language>
  <cp:lastModifiedBy/>
  <dcterms:modified xsi:type="dcterms:W3CDTF">2026-09-18T08:49:00Z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