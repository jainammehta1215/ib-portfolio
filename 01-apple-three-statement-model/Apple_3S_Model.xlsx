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ummary" sheetId="3" state="visible" r:id="rId5"/>
    <sheet name="Historical" sheetId="4" state="visible" r:id="rId6"/>
    <sheet name="Model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<sst xmlns="http://schemas.openxmlformats.org/spreadsheetml/2006/main" count="373" uniqueCount="237">
  <si>
    <t xml:space="preserve">Apple Inc. — Three-Statement Operating Model</t>
  </si>
  <si>
    <t xml:space="preserve">IB portfolio · Project 1 of 20 · US$ billions unless stated · fiscal years ending late September</t>
  </si>
  <si>
    <t xml:space="preserve">Purpose</t>
  </si>
  <si>
    <t xml:space="preserve">Integrated income statement, balance sheet and cash-flow forecast FY2026E–FY2030E driven from an assumptions sheet with Base / Upside / Downside cases.</t>
  </si>
  <si>
    <t xml:space="preserve">How to use</t>
  </si>
  <si>
    <t xml:space="preserve">Change the scenario in Inputs!C4 (1 = Base, 2 = Upside, 3 = Downside). Edit blue cells only. Every other cell is a formula.</t>
  </si>
  <si>
    <t xml:space="preserve">Colour code</t>
  </si>
  <si>
    <t xml:space="preserve">Blue = hard-coded input · Black = formula · Green = link to another sheet · Yellow fill = the scenario selector and key levers.</t>
  </si>
  <si>
    <t xml:space="preserve">Sheets</t>
  </si>
  <si>
    <t xml:space="preserve">Inputs → Historical → Model (IS, BS, CF and schedules) → Checks → Summary.</t>
  </si>
  <si>
    <t xml:space="preserve">Historicals</t>
  </si>
  <si>
    <t xml:space="preserve">FY2022–FY2025 from Apple's Form 10-K filings (SEC EDGAR, CIK 0000320193), pulled via Yahoo Finance and reconciled to reported totals on the Historical sheet.</t>
  </si>
  <si>
    <t xml:space="preserve">Simplifications</t>
  </si>
  <si>
    <t xml:space="preserve">Interest on opening balances (no circularity); receivables include vendor non-trade receivables; other current liabilities include accrued expenses, deferred revenue and taxes payable; long-term marketable securities modelled as a run-off input; buybacks charged to retained earnings.</t>
  </si>
  <si>
    <t xml:space="preserve">Source</t>
  </si>
  <si>
    <t xml:space="preserve">https://www.sec.gov/cgi-bin/browse-edgar?action=getcompany&amp;CIK=0000320193&amp;type=10-K</t>
  </si>
  <si>
    <t xml:space="preserve">Author</t>
  </si>
  <si>
    <t xml:space="preserve">Jainam Mehta · github.com/jainammehta1215/ib-portfolio</t>
  </si>
  <si>
    <t xml:space="preserve">Assumptions</t>
  </si>
  <si>
    <t xml:space="preserve">Scenario selector (1 Base · 2 Upside · 3 Downside)</t>
  </si>
  <si>
    <t xml:space="preserve">Interest is computed on opening balances to avoid a circular reference. In Excel you may switch to average balances after enabling File → Options → Formulas → Iterative calculation.</t>
  </si>
  <si>
    <t xml:space="preserve">General inputs</t>
  </si>
  <si>
    <t xml:space="preserve">Interest rate on debt</t>
  </si>
  <si>
    <t xml:space="preserve">Blended coupon on Apple's notes; FY2025 interest expense ≈ 3.9% of average debt (10-K)</t>
  </si>
  <si>
    <t xml:space="preserve">Yield on cash &amp; investments</t>
  </si>
  <si>
    <t xml:space="preserve">Approximate yield on Apple's short- and long-term marketable securities</t>
  </si>
  <si>
    <t xml:space="preserve">Revolver interest rate</t>
  </si>
  <si>
    <t xml:space="preserve">Assumed commercial-paper / revolver rate</t>
  </si>
  <si>
    <t xml:space="preserve">Minimum cash balance (US$bn)</t>
  </si>
  <si>
    <t xml:space="preserve">Operating cash floor; revolver draws when forecast cash falls below this</t>
  </si>
  <si>
    <t xml:space="preserve">Share price at FY2025 year-end (US$)</t>
  </si>
  <si>
    <t xml:space="preserve">Approximate closing price late September 2025; used only for buyback share count</t>
  </si>
  <si>
    <t xml:space="preserve">Share price growth p.a. for buyback math</t>
  </si>
  <si>
    <t xml:space="preserve">Assumed; affects share count and EPS, not cash</t>
  </si>
  <si>
    <t xml:space="preserve">Forecast drivers by scenario (selected row feeds the Model)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</si>
  <si>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</si>
  <si>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</si>
  <si>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</si>
  <si>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</si>
  <si>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</si>
  <si>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Basis / source</t>
  </si>
  <si>
    <t xml:space="preserve">Revenue growth</t>
  </si>
  <si>
    <t xml:space="preserve">FY2023–25 growth: -2.8%, +2.0%, +6.4%. Base assumes mid-single-digit growth led by services.</t>
  </si>
  <si>
    <t xml:space="preserve">  Base</t>
  </si>
  <si>
    <t xml:space="preserve">  Upside</t>
  </si>
  <si>
    <t xml:space="preserve">  Downside</t>
  </si>
  <si>
    <t xml:space="preserve">  Selected</t>
  </si>
  <si>
    <t xml:space="preserve">Gross margin</t>
  </si>
  <si>
    <t xml:space="preserve">FY2025 gross margin 46.9%; services mix lifts it in Base and Upside; tariffs/pricing pressure in Downside.</t>
  </si>
  <si>
    <t xml:space="preserve">R&amp;D as % of revenue</t>
  </si>
  <si>
    <t xml:space="preserve">FY2025: 8.3%</t>
  </si>
  <si>
    <t xml:space="preserve">SG&amp;A as % of revenue</t>
  </si>
  <si>
    <t xml:space="preserve">FY2025: 6.6%</t>
  </si>
  <si>
    <t xml:space="preserve">Effective tax rate</t>
  </si>
  <si>
    <t xml:space="preserve">FY2025: 15.6% (FY2024 24.1% distorted by the EU State Aid charge)</t>
  </si>
  <si>
    <t xml:space="preserve">D&amp;A as % of revenue</t>
  </si>
  <si>
    <t xml:space="preserve">FY2023–25: 3.0%, 2.9%, 2.8%</t>
  </si>
  <si>
    <t xml:space="preserve">Capex as % of revenue</t>
  </si>
  <si>
    <t xml:space="preserve">FY2025: 3.1%; Base holds it, Upside adds AI/data-centre spend</t>
  </si>
  <si>
    <t xml:space="preserve">Stock-based compensation as % of revenue</t>
  </si>
  <si>
    <t xml:space="preserve">FY2025: 3.1%; non-cash, added back in CFO and to equity</t>
  </si>
  <si>
    <t xml:space="preserve">Receivable days (on revenue)</t>
  </si>
  <si>
    <t xml:space="preserve">FY2025: 64 days incl. vendor non-trade receivables</t>
  </si>
  <si>
    <t xml:space="preserve">Inventory days (on COGS)</t>
  </si>
  <si>
    <t xml:space="preserve">FY2025: 9.5 days</t>
  </si>
  <si>
    <t xml:space="preserve">Payable days (on COGS)</t>
  </si>
  <si>
    <t xml:space="preserve">FY2025: 115 days</t>
  </si>
  <si>
    <t xml:space="preserve">Other current assets as % of revenue</t>
  </si>
  <si>
    <t xml:space="preserve">FY2025: 3.5%</t>
  </si>
  <si>
    <t xml:space="preserve">Other current liabilities as % of revenue</t>
  </si>
  <si>
    <t xml:space="preserve">FY2025: 18.0% (accrued, deferred revenue, tax payable)</t>
  </si>
  <si>
    <t xml:space="preserve">Other non-current assets as % of revenue</t>
  </si>
  <si>
    <t xml:space="preserve">FY2025: 20.1% incl. deferred tax assets</t>
  </si>
  <si>
    <t xml:space="preserve">Other non-current liabilities as % of revenue</t>
  </si>
  <si>
    <t xml:space="preserve">FY2025: 10.0%</t>
  </si>
  <si>
    <t xml:space="preserve">Change in long-term investments (US$bn, negative = sold)</t>
  </si>
  <si>
    <t xml:space="preserve">Apple has run down long-term securities from $121bn (FY22) to $78bn (FY25)</t>
  </si>
  <si>
    <t xml:space="preserve">Dividends paid (US$bn)</t>
  </si>
  <si>
    <t xml:space="preserve">FY2025: $15.4bn; ~4% p.a. per-share growth</t>
  </si>
  <si>
    <t xml:space="preserve">Share repurchases as % of FCF after dividends</t>
  </si>
  <si>
    <t xml:space="preserve">Apple targets 'net cash neutral'; FY2023–25 buybacks were 92%, 102% and 109% of FCF after dividends</t>
  </si>
  <si>
    <t xml:space="preserve">Scheduled debt repayment (US$bn)</t>
  </si>
  <si>
    <t xml:space="preserve">FY2025 maturities repaid $10.9bn; 10-K maturity schedule</t>
  </si>
  <si>
    <t xml:space="preserve">New long-term debt issued (US$bn)</t>
  </si>
  <si>
    <t xml:space="preserve">FY2025: $4.5bn issued</t>
  </si>
  <si>
    <t xml:space="preserve">Toggle Inputs!C4 to compare scenarios. Green = link to Model.</t>
  </si>
  <si>
    <t xml:space="preserve">FY2022A</t>
  </si>
  <si>
    <t xml:space="preserve">FY2023A</t>
  </si>
  <si>
    <t xml:space="preserve">FY2024A</t>
  </si>
  <si>
    <t xml:space="preserve">FY2025A</t>
  </si>
  <si>
    <t xml:space="preserve">Revenue</t>
  </si>
  <si>
    <t xml:space="preserve">  growth</t>
  </si>
  <si>
    <t xml:space="preserve">EBIT</t>
  </si>
  <si>
    <t xml:space="preserve">  EBIT margin</t>
  </si>
  <si>
    <t xml:space="preserve">Net income</t>
  </si>
  <si>
    <t xml:space="preserve">Diluted EPS (US$)</t>
  </si>
  <si>
    <t xml:space="preserve">Free cash flow</t>
  </si>
  <si>
    <t xml:space="preserve">Shareholder returns</t>
  </si>
  <si>
    <t xml:space="preserve">Cash &amp; ST investments</t>
  </si>
  <si>
    <t xml:space="preserve">Total debt incl. revolver</t>
  </si>
  <si>
    <t xml:space="preserve">Net debt / (net cash)</t>
  </si>
  <si>
    <t xml:space="preserve">Shares outstanding (bn)</t>
  </si>
  <si>
    <t xml:space="preserve">Historical financials (US$bn) — Apple 10-K, FY2022–FY2025</t>
  </si>
  <si>
    <t xml:space="preserve">Reconciled: every subtotal ties to the reported statements. Receivables = trade + vendor non-trade receivables. 'Other' asset and liability lines are residuals to Apple's reported subtotals (so they include accrued expenses, deferred revenue, taxes payable and lease liabilities).</t>
  </si>
  <si>
    <t xml:space="preserve">FY2022</t>
  </si>
  <si>
    <t xml:space="preserve">FY2023</t>
  </si>
  <si>
    <t xml:space="preserve">FY2024</t>
  </si>
  <si>
    <t xml:space="preserve">FY2025</t>
  </si>
  <si>
    <t xml:space="preserve">Income statement</t>
  </si>
  <si>
    <t xml:space="preserve">Cost of revenue</t>
  </si>
  <si>
    <t xml:space="preserve">Gross profit</t>
  </si>
  <si>
    <t xml:space="preserve">Research &amp; development</t>
  </si>
  <si>
    <t xml:space="preserve">Selling, general &amp; administrative</t>
  </si>
  <si>
    <t xml:space="preserve">Operating income (EBIT)</t>
  </si>
  <si>
    <t xml:space="preserve">Other income / (expense), net incl. interest</t>
  </si>
  <si>
    <t xml:space="preserve">Pre-tax income</t>
  </si>
  <si>
    <t xml:space="preserve">Income tax</t>
  </si>
  <si>
    <t xml:space="preserve">Net income as reported (check)</t>
  </si>
  <si>
    <t xml:space="preserve">Diluted weighted average shares (bn)</t>
  </si>
  <si>
    <t xml:space="preserve">Balance sheet</t>
  </si>
  <si>
    <t xml:space="preserve">Cash &amp; short-term investments</t>
  </si>
  <si>
    <t xml:space="preserve">Receivables (trade + vendor non-trade)</t>
  </si>
  <si>
    <t xml:space="preserve">Inventory</t>
  </si>
  <si>
    <t xml:space="preserve">Other current assets</t>
  </si>
  <si>
    <t xml:space="preserve">Total current assets</t>
  </si>
  <si>
    <t xml:space="preserve">Long-term marketable securities</t>
  </si>
  <si>
    <t xml:space="preserve">Property, plant &amp; equipment, net</t>
  </si>
  <si>
    <t xml:space="preserve">Other non-current assets (incl. deferred tax)</t>
  </si>
  <si>
    <t xml:space="preserve">Total assets</t>
  </si>
  <si>
    <t xml:space="preserve">Accounts payable</t>
  </si>
  <si>
    <t xml:space="preserve">Other current liabilities</t>
  </si>
  <si>
    <t xml:space="preserve">Current debt (incl. commercial paper)</t>
  </si>
  <si>
    <t xml:space="preserve">Total current liabilities</t>
  </si>
  <si>
    <t xml:space="preserve">Long-term debt</t>
  </si>
  <si>
    <t xml:space="preserve">Other non-current liabilities</t>
  </si>
  <si>
    <t xml:space="preserve">Total liabilities</t>
  </si>
  <si>
    <t xml:space="preserve">Common stock &amp; APIC</t>
  </si>
  <si>
    <t xml:space="preserve">Retained earnings / (deficit)</t>
  </si>
  <si>
    <t xml:space="preserve">Accumulated other comprehensive loss</t>
  </si>
  <si>
    <t xml:space="preserve">Total shareholders' equity</t>
  </si>
  <si>
    <t xml:space="preserve">Total liabilities &amp; equity</t>
  </si>
  <si>
    <t xml:space="preserve">Balance check (assets − liabilities − equity)</t>
  </si>
  <si>
    <t xml:space="preserve">Cash-flow items</t>
  </si>
  <si>
    <t xml:space="preserve">Depreciation &amp; amortisation</t>
  </si>
  <si>
    <t xml:space="preserve">Stock-based compensation</t>
  </si>
  <si>
    <t xml:space="preserve">Capital expenditure</t>
  </si>
  <si>
    <t xml:space="preserve">Dividends paid</t>
  </si>
  <si>
    <t xml:space="preserve">Share repurchases</t>
  </si>
  <si>
    <t xml:space="preserve">Debt issued</t>
  </si>
  <si>
    <t xml:space="preserve">Debt repaid</t>
  </si>
  <si>
    <t xml:space="preserve">Cash from operations (reported)</t>
  </si>
  <si>
    <t xml:space="preserve">Cash from investing (reported)</t>
  </si>
  <si>
    <t xml:space="preserve">Cash from financing (reported)</t>
  </si>
  <si>
    <t xml:space="preserve">Shares outstanding at year-end (bn)</t>
  </si>
  <si>
    <t xml:space="preserve">Historical ratios (calibrate the Inputs sheet)</t>
  </si>
  <si>
    <t xml:space="preserve">R&amp;D % revenue</t>
  </si>
  <si>
    <t xml:space="preserve">SG&amp;A % revenue</t>
  </si>
  <si>
    <t xml:space="preserve">EBIT margin</t>
  </si>
  <si>
    <t xml:space="preserve">D&amp;A % revenue</t>
  </si>
  <si>
    <t xml:space="preserve">Capex % revenue</t>
  </si>
  <si>
    <t xml:space="preserve">SBC % revenue</t>
  </si>
  <si>
    <t xml:space="preserve">Receivable days</t>
  </si>
  <si>
    <t xml:space="preserve">Inventory days</t>
  </si>
  <si>
    <t xml:space="preserve">Payable days</t>
  </si>
  <si>
    <t xml:space="preserve">Other current assets % revenue</t>
  </si>
  <si>
    <t xml:space="preserve">Other current liabilities % revenue</t>
  </si>
  <si>
    <t xml:space="preserve">Other non-current assets % revenue</t>
  </si>
  <si>
    <t xml:space="preserve">Other non-current liabilities % revenue</t>
  </si>
  <si>
    <t xml:space="preserve">Net debt / (net cash) incl. LT securities</t>
  </si>
  <si>
    <t xml:space="preserve">Integrated model (US$bn)</t>
  </si>
  <si>
    <t xml:space="preserve">INCOME STATEMENT</t>
  </si>
  <si>
    <t xml:space="preserve">  growth %</t>
  </si>
  <si>
    <t xml:space="preserve">  gross margin %</t>
  </si>
  <si>
    <t xml:space="preserve">  EBIT margin %</t>
  </si>
  <si>
    <t xml:space="preserve">Depreciation &amp; amortisation (memo, in COGS/opex)</t>
  </si>
  <si>
    <t xml:space="preserve">EBITDA</t>
  </si>
  <si>
    <t xml:space="preserve">Interest income on cash &amp; investments (opening balances)</t>
  </si>
  <si>
    <t xml:space="preserve">Interest expense on debt (opening balances)</t>
  </si>
  <si>
    <t xml:space="preserve">Other income / (expense), net</t>
  </si>
  <si>
    <t xml:space="preserve">  net margin %</t>
  </si>
  <si>
    <t xml:space="preserve">SHARE COUNT &amp; EPS</t>
  </si>
  <si>
    <t xml:space="preserve">Shares outstanding, year-end (bn)</t>
  </si>
  <si>
    <t xml:space="preserve">  assumed share price (US$)</t>
  </si>
  <si>
    <t xml:space="preserve">BALANCE SHEET</t>
  </si>
  <si>
    <t xml:space="preserve">Receivables</t>
  </si>
  <si>
    <t xml:space="preserve">PP&amp;E, net</t>
  </si>
  <si>
    <t xml:space="preserve">Other non-current assets</t>
  </si>
  <si>
    <t xml:space="preserve">Revolver (plug)</t>
  </si>
  <si>
    <t xml:space="preserve">Total equity</t>
  </si>
  <si>
    <t xml:space="preserve">Balance check (should be zero)</t>
  </si>
  <si>
    <t xml:space="preserve">CASH-FLOW STATEMENT</t>
  </si>
  <si>
    <t xml:space="preserve">(Increase) / decrease in receivables</t>
  </si>
  <si>
    <t xml:space="preserve">(Increase) / decrease in inventory</t>
  </si>
  <si>
    <t xml:space="preserve">(Increase) / decrease in other current assets</t>
  </si>
  <si>
    <t xml:space="preserve">(Increase) / decrease in other non-current assets</t>
  </si>
  <si>
    <t xml:space="preserve">Increase / (decrease) in accounts payable</t>
  </si>
  <si>
    <t xml:space="preserve">Increase / (decrease) in other current liabilities</t>
  </si>
  <si>
    <t xml:space="preserve">Increase / (decrease) in other non-current liabilities</t>
  </si>
  <si>
    <t xml:space="preserve">Cash from operations</t>
  </si>
  <si>
    <t xml:space="preserve">Net (purchase) / sale of long-term securities</t>
  </si>
  <si>
    <t xml:space="preserve">Cash from investing</t>
  </si>
  <si>
    <t xml:space="preserve">Long-term debt issued</t>
  </si>
  <si>
    <t xml:space="preserve">Long-term debt repaid</t>
  </si>
  <si>
    <t xml:space="preserve">Revolver draw / (repayment)</t>
  </si>
  <si>
    <t xml:space="preserve">Cash from financing</t>
  </si>
  <si>
    <t xml:space="preserve">Net change in cash</t>
  </si>
  <si>
    <t xml:space="preserve">Opening cash &amp; short-term investments</t>
  </si>
  <si>
    <t xml:space="preserve">Closing cash &amp; short-term investments</t>
  </si>
  <si>
    <t xml:space="preserve">SCHEDULES</t>
  </si>
  <si>
    <t xml:space="preserve">PP&amp;E: opening</t>
  </si>
  <si>
    <t xml:space="preserve">  + capex</t>
  </si>
  <si>
    <t xml:space="preserve">  − depreciation &amp; amortisation</t>
  </si>
  <si>
    <t xml:space="preserve">PP&amp;E: closing</t>
  </si>
  <si>
    <t xml:space="preserve">Long-term debt: opening</t>
  </si>
  <si>
    <t xml:space="preserve">  + issuance</t>
  </si>
  <si>
    <t xml:space="preserve">  − repayment</t>
  </si>
  <si>
    <t xml:space="preserve">Long-term debt: closing</t>
  </si>
  <si>
    <t xml:space="preserve">Revolver: opening balance</t>
  </si>
  <si>
    <t xml:space="preserve">Cash before revolver</t>
  </si>
  <si>
    <t xml:space="preserve">Minimum cash</t>
  </si>
  <si>
    <t xml:space="preserve">Revolver: closing balance</t>
  </si>
  <si>
    <t xml:space="preserve">Free cash flow (CFO − capex)</t>
  </si>
  <si>
    <t xml:space="preserve">Shareholder returns (dividends + buybacks)</t>
  </si>
  <si>
    <t xml:space="preserve">  as % of free cash flow</t>
  </si>
  <si>
    <t xml:space="preserve">Model integrity checks (all should read 0 / TRUE)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</si>
  <si>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</si>
  <si>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</si>
  <si>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</si>
  <si>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</si>
  <si>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</si>
  <si>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Balance sheet balances (assets − liabilities − equity)</t>
  </si>
  <si>
    <t xml:space="preserve">Cash-flow closing cash = balance-sheet cash</t>
  </si>
  <si>
    <t xml:space="preserve">PP&amp;E schedule closing = balance-sheet PP&amp;E</t>
  </si>
  <si>
    <t xml:space="preserve">Debt schedule closing = balance-sheet LT debt</t>
  </si>
  <si>
    <t xml:space="preserve">Cash never below minimum (TRUE)</t>
  </si>
  <si>
    <t xml:space="preserve">Historical net income ties to reported (0)</t>
  </si>
  <si>
    <t xml:space="preserve">Overall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</si>
</sst>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.0;\(#,##0.0\);\-"/>
    <numFmt numFmtId="167" formatCode="0.00"/>
    <numFmt numFmtId="168" formatCode="#,##0.000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2" customFormat="false" ht="30" hidden="false" customHeight="tru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8" min="3" style="0" width="12"/>
    <col collapsed="false" customWidth="true" hidden="false" outlineLevel="0" max="9" min="9" style="0" width="60"/>
  </cols>
  <sheetData>
    <row r="2" customFormat="false" ht="17.35" hidden="false" customHeight="false" outlineLevel="0" collapsed="false">
      <c r="B2" s="1" t="s">
        <v>18</v>
      </c>
    </row>
    <row r="4" customFormat="false" ht="15" hidden="false" customHeight="false" outlineLevel="0" collapsed="false">
      <c r="B4" s="3" t="s">
        <v>19</v>
      </c>
      <c r="C4" s="5" t="n">
        <v>1</v>
      </c>
      <c r="D4" s="6" t="str">
        <f aca="false">CHOOSE($C$4,"Base","Upside","Downside")</f>
        <v>Base</v>
      </c>
    </row>
    <row r="5" customFormat="false" ht="27.75" hidden="false" customHeight="true" outlineLevel="0" collapsed="false">
      <c r="B5" s="7" t="s">
        <v>20</v>
      </c>
      <c r="C5" s="7"/>
      <c r="D5" s="7"/>
      <c r="E5" s="7"/>
      <c r="F5" s="7"/>
      <c r="G5" s="7"/>
      <c r="H5" s="7"/>
      <c r="I5" s="7"/>
    </row>
    <row r="7" customFormat="false" ht="15" hidden="false" customHeight="false" outlineLevel="0" collapsed="false">
      <c r="B7" s="8" t="s">
        <v>21</v>
      </c>
    </row>
    <row r="8" customFormat="false" ht="15" hidden="false" customHeight="false" outlineLevel="0" collapsed="false">
      <c r="B8" s="0" t="s">
        <v>22</v>
      </c>
      <c r="C8" s="9" t="n">
        <v>0.04</v>
      </c>
      <c r="I8" s="2" t="s">
        <v>23</v>
      </c>
    </row>
    <row r="9" customFormat="false" ht="15" hidden="false" customHeight="false" outlineLevel="0" collapsed="false">
      <c r="B9" s="0" t="s">
        <v>24</v>
      </c>
      <c r="C9" s="9" t="n">
        <v>0.04</v>
      </c>
      <c r="I9" s="2" t="s">
        <v>25</v>
      </c>
    </row>
    <row r="10" customFormat="false" ht="15" hidden="false" customHeight="false" outlineLevel="0" collapsed="false">
      <c r="B10" s="0" t="s">
        <v>26</v>
      </c>
      <c r="C10" s="9" t="n">
        <v>0.055</v>
      </c>
      <c r="I10" s="2" t="s">
        <v>27</v>
      </c>
    </row>
    <row r="11" customFormat="false" ht="15" hidden="false" customHeight="false" outlineLevel="0" collapsed="false">
      <c r="B11" s="0" t="s">
        <v>28</v>
      </c>
      <c r="C11" s="10" t="n">
        <v>25</v>
      </c>
      <c r="I11" s="2" t="s">
        <v>29</v>
      </c>
    </row>
    <row r="12" customFormat="false" ht="15" hidden="false" customHeight="false" outlineLevel="0" collapsed="false">
      <c r="B12" s="0" t="s">
        <v>30</v>
      </c>
      <c r="C12" s="10" t="n">
        <v>254</v>
      </c>
      <c r="I12" s="2" t="s">
        <v>31</v>
      </c>
    </row>
    <row r="13" customFormat="false" ht="15" hidden="false" customHeight="false" outlineLevel="0" collapsed="false">
      <c r="B13" s="0" t="s">
        <v>32</v>
      </c>
      <c r="C13" s="9" t="n">
        <v>0.06</v>
      </c>
      <c r="I13" s="2" t="s">
        <v>33</v>
      </c>
    </row>
    <row r="15" customFormat="false" ht="15" hidden="false" customHeight="false" outlineLevel="0" collapsed="false">
      <c r="B15" s="8" t="s">
        <v>34</v>
      </c>
      <c r="C15" s="11" t="s">
        <v>35</v>
      </c>
      <c r="D15" s="11" t="s">
        <v>36</v>
      </c>
      <c r="E15" s="11" t="s">
        <v>37</v>
      </c>
      <c r="F15" s="11" t="s">
        <v>38</v>
      </c>
      <c r="G15" s="11" t="s">
        <v>39</v>
      </c>
      <c r="I15" s="12" t="s">
        <v>40</v>
      </c>
    </row>
    <row r="16" customFormat="false" ht="15" hidden="false" customHeight="false" outlineLevel="0" collapsed="false">
      <c r="B16" s="3" t="s">
        <v>41</v>
      </c>
      <c r="I16" s="2" t="s">
        <v>42</v>
      </c>
    </row>
    <row r="17" customFormat="false" ht="15" hidden="false" customHeight="false" outlineLevel="0" collapsed="false">
      <c r="B17" s="0" t="s">
        <v>43</v>
      </c>
      <c r="C17" s="9" t="n">
        <v>0.06</v>
      </c>
      <c r="D17" s="9" t="n">
        <v>0.05</v>
      </c>
      <c r="E17" s="9" t="n">
        <v>0.05</v>
      </c>
      <c r="F17" s="9" t="n">
        <v>0.04</v>
      </c>
      <c r="G17" s="9" t="n">
        <v>0.04</v>
      </c>
    </row>
    <row r="18" customFormat="false" ht="15" hidden="false" customHeight="false" outlineLevel="0" collapsed="false">
      <c r="B18" s="0" t="s">
        <v>44</v>
      </c>
      <c r="C18" s="9" t="n">
        <v>0.09</v>
      </c>
      <c r="D18" s="9" t="n">
        <v>0.08</v>
      </c>
      <c r="E18" s="9" t="n">
        <v>0.07</v>
      </c>
      <c r="F18" s="9" t="n">
        <v>0.06</v>
      </c>
      <c r="G18" s="9" t="n">
        <v>0.06</v>
      </c>
    </row>
    <row r="19" customFormat="false" ht="15" hidden="false" customHeight="false" outlineLevel="0" collapsed="false">
      <c r="B19" s="0" t="s">
        <v>45</v>
      </c>
      <c r="C19" s="9" t="n">
        <v>0.02</v>
      </c>
      <c r="D19" s="9" t="n">
        <v>0.02</v>
      </c>
      <c r="E19" s="9" t="n">
        <v>0.02</v>
      </c>
      <c r="F19" s="9" t="n">
        <v>0.02</v>
      </c>
      <c r="G19" s="9" t="n">
        <v>0.02</v>
      </c>
    </row>
    <row r="20" customFormat="false" ht="15" hidden="false" customHeight="false" outlineLevel="0" collapsed="false">
      <c r="B20" s="3" t="s">
        <v>46</v>
      </c>
      <c r="C20" s="13" t="n">
        <f aca="false">CHOOSE($C$4,C17,C18,C19)</f>
        <v>0.06</v>
      </c>
      <c r="D20" s="13" t="n">
        <f aca="false">CHOOSE($C$4,D17,D18,D19)</f>
        <v>0.05</v>
      </c>
      <c r="E20" s="13" t="n">
        <f aca="false">CHOOSE($C$4,E17,E18,E19)</f>
        <v>0.05</v>
      </c>
      <c r="F20" s="13" t="n">
        <f aca="false">CHOOSE($C$4,F17,F18,F19)</f>
        <v>0.04</v>
      </c>
      <c r="G20" s="13" t="n">
        <f aca="false">CHOOSE($C$4,G17,G18,G19)</f>
        <v>0.04</v>
      </c>
    </row>
    <row r="22" customFormat="false" ht="15" hidden="false" customHeight="false" outlineLevel="0" collapsed="false">
      <c r="B22" s="3" t="s">
        <v>47</v>
      </c>
      <c r="I22" s="2" t="s">
        <v>48</v>
      </c>
    </row>
    <row r="23" customFormat="false" ht="15" hidden="false" customHeight="false" outlineLevel="0" collapsed="false">
      <c r="B23" s="0" t="s">
        <v>43</v>
      </c>
      <c r="C23" s="9" t="n">
        <v>0.47</v>
      </c>
      <c r="D23" s="9" t="n">
        <v>0.472</v>
      </c>
      <c r="E23" s="9" t="n">
        <v>0.474</v>
      </c>
      <c r="F23" s="9" t="n">
        <v>0.475</v>
      </c>
      <c r="G23" s="9" t="n">
        <v>0.475</v>
      </c>
    </row>
    <row r="24" customFormat="false" ht="15" hidden="false" customHeight="false" outlineLevel="0" collapsed="false">
      <c r="B24" s="0" t="s">
        <v>44</v>
      </c>
      <c r="C24" s="9" t="n">
        <v>0.48</v>
      </c>
      <c r="D24" s="9" t="n">
        <v>0.485</v>
      </c>
      <c r="E24" s="9" t="n">
        <v>0.49</v>
      </c>
      <c r="F24" s="9" t="n">
        <v>0.492</v>
      </c>
      <c r="G24" s="9" t="n">
        <v>0.495</v>
      </c>
    </row>
    <row r="25" customFormat="false" ht="15" hidden="false" customHeight="false" outlineLevel="0" collapsed="false">
      <c r="B25" s="0" t="s">
        <v>45</v>
      </c>
      <c r="C25" s="9" t="n">
        <v>0.455</v>
      </c>
      <c r="D25" s="9" t="n">
        <v>0.45</v>
      </c>
      <c r="E25" s="9" t="n">
        <v>0.45</v>
      </c>
      <c r="F25" s="9" t="n">
        <v>0.45</v>
      </c>
      <c r="G25" s="9" t="n">
        <v>0.45</v>
      </c>
    </row>
    <row r="26" customFormat="false" ht="15" hidden="false" customHeight="false" outlineLevel="0" collapsed="false">
      <c r="B26" s="3" t="s">
        <v>46</v>
      </c>
      <c r="C26" s="13" t="n">
        <f aca="false">CHOOSE($C$4,C23,C24,C25)</f>
        <v>0.47</v>
      </c>
      <c r="D26" s="13" t="n">
        <f aca="false">CHOOSE($C$4,D23,D24,D25)</f>
        <v>0.472</v>
      </c>
      <c r="E26" s="13" t="n">
        <f aca="false">CHOOSE($C$4,E23,E24,E25)</f>
        <v>0.474</v>
      </c>
      <c r="F26" s="13" t="n">
        <f aca="false">CHOOSE($C$4,F23,F24,F25)</f>
        <v>0.475</v>
      </c>
      <c r="G26" s="13" t="n">
        <f aca="false">CHOOSE($C$4,G23,G24,G25)</f>
        <v>0.475</v>
      </c>
    </row>
    <row r="28" customFormat="false" ht="15" hidden="false" customHeight="false" outlineLevel="0" collapsed="false">
      <c r="B28" s="3" t="s">
        <v>49</v>
      </c>
      <c r="I28" s="2" t="s">
        <v>50</v>
      </c>
    </row>
    <row r="29" customFormat="false" ht="15" hidden="false" customHeight="false" outlineLevel="0" collapsed="false">
      <c r="B29" s="0" t="s">
        <v>43</v>
      </c>
      <c r="C29" s="9" t="n">
        <v>0.083</v>
      </c>
      <c r="D29" s="9" t="n">
        <v>0.083</v>
      </c>
      <c r="E29" s="9" t="n">
        <v>0.083</v>
      </c>
      <c r="F29" s="9" t="n">
        <v>0.083</v>
      </c>
      <c r="G29" s="9" t="n">
        <v>0.083</v>
      </c>
    </row>
    <row r="30" customFormat="false" ht="15" hidden="false" customHeight="false" outlineLevel="0" collapsed="false">
      <c r="B30" s="0" t="s">
        <v>44</v>
      </c>
      <c r="C30" s="9" t="n">
        <v>0.082</v>
      </c>
      <c r="D30" s="9" t="n">
        <v>0.082</v>
      </c>
      <c r="E30" s="9" t="n">
        <v>0.082</v>
      </c>
      <c r="F30" s="9" t="n">
        <v>0.082</v>
      </c>
      <c r="G30" s="9" t="n">
        <v>0.082</v>
      </c>
    </row>
    <row r="31" customFormat="false" ht="15" hidden="false" customHeight="false" outlineLevel="0" collapsed="false">
      <c r="B31" s="0" t="s">
        <v>45</v>
      </c>
      <c r="C31" s="9" t="n">
        <v>0.086</v>
      </c>
      <c r="D31" s="9" t="n">
        <v>0.086</v>
      </c>
      <c r="E31" s="9" t="n">
        <v>0.086</v>
      </c>
      <c r="F31" s="9" t="n">
        <v>0.086</v>
      </c>
      <c r="G31" s="9" t="n">
        <v>0.086</v>
      </c>
    </row>
    <row r="32" customFormat="false" ht="15" hidden="false" customHeight="false" outlineLevel="0" collapsed="false">
      <c r="B32" s="3" t="s">
        <v>46</v>
      </c>
      <c r="C32" s="13" t="n">
        <f aca="false">CHOOSE($C$4,C29,C30,C31)</f>
        <v>0.083</v>
      </c>
      <c r="D32" s="13" t="n">
        <f aca="false">CHOOSE($C$4,D29,D30,D31)</f>
        <v>0.083</v>
      </c>
      <c r="E32" s="13" t="n">
        <f aca="false">CHOOSE($C$4,E29,E30,E31)</f>
        <v>0.083</v>
      </c>
      <c r="F32" s="13" t="n">
        <f aca="false">CHOOSE($C$4,F29,F30,F31)</f>
        <v>0.083</v>
      </c>
      <c r="G32" s="13" t="n">
        <f aca="false">CHOOSE($C$4,G29,G30,G31)</f>
        <v>0.083</v>
      </c>
    </row>
    <row r="34" customFormat="false" ht="15" hidden="false" customHeight="false" outlineLevel="0" collapsed="false">
      <c r="B34" s="3" t="s">
        <v>51</v>
      </c>
      <c r="I34" s="2" t="s">
        <v>52</v>
      </c>
    </row>
    <row r="35" customFormat="false" ht="15" hidden="false" customHeight="false" outlineLevel="0" collapsed="false">
      <c r="B35" s="0" t="s">
        <v>43</v>
      </c>
      <c r="C35" s="9" t="n">
        <v>0.066</v>
      </c>
      <c r="D35" s="9" t="n">
        <v>0.066</v>
      </c>
      <c r="E35" s="9" t="n">
        <v>0.066</v>
      </c>
      <c r="F35" s="9" t="n">
        <v>0.066</v>
      </c>
      <c r="G35" s="9" t="n">
        <v>0.066</v>
      </c>
    </row>
    <row r="36" customFormat="false" ht="15" hidden="false" customHeight="false" outlineLevel="0" collapsed="false">
      <c r="B36" s="0" t="s">
        <v>44</v>
      </c>
      <c r="C36" s="9" t="n">
        <v>0.064</v>
      </c>
      <c r="D36" s="9" t="n">
        <v>0.064</v>
      </c>
      <c r="E36" s="9" t="n">
        <v>0.064</v>
      </c>
      <c r="F36" s="9" t="n">
        <v>0.064</v>
      </c>
      <c r="G36" s="9" t="n">
        <v>0.064</v>
      </c>
    </row>
    <row r="37" customFormat="false" ht="15" hidden="false" customHeight="false" outlineLevel="0" collapsed="false">
      <c r="B37" s="0" t="s">
        <v>45</v>
      </c>
      <c r="C37" s="9" t="n">
        <v>0.068</v>
      </c>
      <c r="D37" s="9" t="n">
        <v>0.068</v>
      </c>
      <c r="E37" s="9" t="n">
        <v>0.068</v>
      </c>
      <c r="F37" s="9" t="n">
        <v>0.068</v>
      </c>
      <c r="G37" s="9" t="n">
        <v>0.068</v>
      </c>
    </row>
    <row r="38" customFormat="false" ht="15" hidden="false" customHeight="false" outlineLevel="0" collapsed="false">
      <c r="B38" s="3" t="s">
        <v>46</v>
      </c>
      <c r="C38" s="13" t="n">
        <f aca="false">CHOOSE($C$4,C35,C36,C37)</f>
        <v>0.066</v>
      </c>
      <c r="D38" s="13" t="n">
        <f aca="false">CHOOSE($C$4,D35,D36,D37)</f>
        <v>0.066</v>
      </c>
      <c r="E38" s="13" t="n">
        <f aca="false">CHOOSE($C$4,E35,E36,E37)</f>
        <v>0.066</v>
      </c>
      <c r="F38" s="13" t="n">
        <f aca="false">CHOOSE($C$4,F35,F36,F37)</f>
        <v>0.066</v>
      </c>
      <c r="G38" s="13" t="n">
        <f aca="false">CHOOSE($C$4,G35,G36,G37)</f>
        <v>0.066</v>
      </c>
    </row>
    <row r="40" customFormat="false" ht="15" hidden="false" customHeight="false" outlineLevel="0" collapsed="false">
      <c r="B40" s="3" t="s">
        <v>53</v>
      </c>
      <c r="I40" s="2" t="s">
        <v>54</v>
      </c>
    </row>
    <row r="41" customFormat="false" ht="15" hidden="false" customHeight="false" outlineLevel="0" collapsed="false">
      <c r="B41" s="0" t="s">
        <v>43</v>
      </c>
      <c r="C41" s="9" t="n">
        <v>0.165</v>
      </c>
      <c r="D41" s="9" t="n">
        <v>0.165</v>
      </c>
      <c r="E41" s="9" t="n">
        <v>0.165</v>
      </c>
      <c r="F41" s="9" t="n">
        <v>0.165</v>
      </c>
      <c r="G41" s="9" t="n">
        <v>0.165</v>
      </c>
    </row>
    <row r="42" customFormat="false" ht="15" hidden="false" customHeight="false" outlineLevel="0" collapsed="false">
      <c r="B42" s="0" t="s">
        <v>44</v>
      </c>
      <c r="C42" s="9" t="n">
        <v>0.16</v>
      </c>
      <c r="D42" s="9" t="n">
        <v>0.16</v>
      </c>
      <c r="E42" s="9" t="n">
        <v>0.16</v>
      </c>
      <c r="F42" s="9" t="n">
        <v>0.16</v>
      </c>
      <c r="G42" s="9" t="n">
        <v>0.16</v>
      </c>
    </row>
    <row r="43" customFormat="false" ht="15" hidden="false" customHeight="false" outlineLevel="0" collapsed="false">
      <c r="B43" s="0" t="s">
        <v>45</v>
      </c>
      <c r="C43" s="9" t="n">
        <v>0.175</v>
      </c>
      <c r="D43" s="9" t="n">
        <v>0.175</v>
      </c>
      <c r="E43" s="9" t="n">
        <v>0.175</v>
      </c>
      <c r="F43" s="9" t="n">
        <v>0.175</v>
      </c>
      <c r="G43" s="9" t="n">
        <v>0.175</v>
      </c>
    </row>
    <row r="44" customFormat="false" ht="15" hidden="false" customHeight="false" outlineLevel="0" collapsed="false">
      <c r="B44" s="3" t="s">
        <v>46</v>
      </c>
      <c r="C44" s="13" t="n">
        <f aca="false">CHOOSE($C$4,C41,C42,C43)</f>
        <v>0.165</v>
      </c>
      <c r="D44" s="13" t="n">
        <f aca="false">CHOOSE($C$4,D41,D42,D43)</f>
        <v>0.165</v>
      </c>
      <c r="E44" s="13" t="n">
        <f aca="false">CHOOSE($C$4,E41,E42,E43)</f>
        <v>0.165</v>
      </c>
      <c r="F44" s="13" t="n">
        <f aca="false">CHOOSE($C$4,F41,F42,F43)</f>
        <v>0.165</v>
      </c>
      <c r="G44" s="13" t="n">
        <f aca="false">CHOOSE($C$4,G41,G42,G43)</f>
        <v>0.165</v>
      </c>
    </row>
    <row r="46" customFormat="false" ht="15" hidden="false" customHeight="false" outlineLevel="0" collapsed="false">
      <c r="B46" s="3" t="s">
        <v>55</v>
      </c>
      <c r="I46" s="2" t="s">
        <v>56</v>
      </c>
    </row>
    <row r="47" customFormat="false" ht="15" hidden="false" customHeight="false" outlineLevel="0" collapsed="false">
      <c r="B47" s="0" t="s">
        <v>43</v>
      </c>
      <c r="C47" s="9" t="n">
        <v>0.028</v>
      </c>
      <c r="D47" s="9" t="n">
        <v>0.028</v>
      </c>
      <c r="E47" s="9" t="n">
        <v>0.028</v>
      </c>
      <c r="F47" s="9" t="n">
        <v>0.028</v>
      </c>
      <c r="G47" s="9" t="n">
        <v>0.028</v>
      </c>
    </row>
    <row r="48" customFormat="false" ht="15" hidden="false" customHeight="false" outlineLevel="0" collapsed="false">
      <c r="B48" s="0" t="s">
        <v>44</v>
      </c>
      <c r="C48" s="9" t="n">
        <v>0.028</v>
      </c>
      <c r="D48" s="9" t="n">
        <v>0.028</v>
      </c>
      <c r="E48" s="9" t="n">
        <v>0.028</v>
      </c>
      <c r="F48" s="9" t="n">
        <v>0.028</v>
      </c>
      <c r="G48" s="9" t="n">
        <v>0.028</v>
      </c>
    </row>
    <row r="49" customFormat="false" ht="15" hidden="false" customHeight="false" outlineLevel="0" collapsed="false">
      <c r="B49" s="0" t="s">
        <v>45</v>
      </c>
      <c r="C49" s="9" t="n">
        <v>0.029</v>
      </c>
      <c r="D49" s="9" t="n">
        <v>0.029</v>
      </c>
      <c r="E49" s="9" t="n">
        <v>0.029</v>
      </c>
      <c r="F49" s="9" t="n">
        <v>0.029</v>
      </c>
      <c r="G49" s="9" t="n">
        <v>0.029</v>
      </c>
    </row>
    <row r="50" customFormat="false" ht="15" hidden="false" customHeight="false" outlineLevel="0" collapsed="false">
      <c r="B50" s="3" t="s">
        <v>46</v>
      </c>
      <c r="C50" s="13" t="n">
        <f aca="false">CHOOSE($C$4,C47,C48,C49)</f>
        <v>0.028</v>
      </c>
      <c r="D50" s="13" t="n">
        <f aca="false">CHOOSE($C$4,D47,D48,D49)</f>
        <v>0.028</v>
      </c>
      <c r="E50" s="13" t="n">
        <f aca="false">CHOOSE($C$4,E47,E48,E49)</f>
        <v>0.028</v>
      </c>
      <c r="F50" s="13" t="n">
        <f aca="false">CHOOSE($C$4,F47,F48,F49)</f>
        <v>0.028</v>
      </c>
      <c r="G50" s="13" t="n">
        <f aca="false">CHOOSE($C$4,G47,G48,G49)</f>
        <v>0.028</v>
      </c>
    </row>
    <row r="52" customFormat="false" ht="15" hidden="false" customHeight="false" outlineLevel="0" collapsed="false">
      <c r="B52" s="3" t="s">
        <v>57</v>
      </c>
      <c r="I52" s="2" t="s">
        <v>58</v>
      </c>
    </row>
    <row r="53" customFormat="false" ht="15" hidden="false" customHeight="false" outlineLevel="0" collapsed="false">
      <c r="B53" s="0" t="s">
        <v>43</v>
      </c>
      <c r="C53" s="9" t="n">
        <v>0.031</v>
      </c>
      <c r="D53" s="9" t="n">
        <v>0.031</v>
      </c>
      <c r="E53" s="9" t="n">
        <v>0.031</v>
      </c>
      <c r="F53" s="9" t="n">
        <v>0.031</v>
      </c>
      <c r="G53" s="9" t="n">
        <v>0.031</v>
      </c>
    </row>
    <row r="54" customFormat="false" ht="15" hidden="false" customHeight="false" outlineLevel="0" collapsed="false">
      <c r="B54" s="0" t="s">
        <v>44</v>
      </c>
      <c r="C54" s="9" t="n">
        <v>0.033</v>
      </c>
      <c r="D54" s="9" t="n">
        <v>0.033</v>
      </c>
      <c r="E54" s="9" t="n">
        <v>0.033</v>
      </c>
      <c r="F54" s="9" t="n">
        <v>0.033</v>
      </c>
      <c r="G54" s="9" t="n">
        <v>0.033</v>
      </c>
    </row>
    <row r="55" customFormat="false" ht="15" hidden="false" customHeight="false" outlineLevel="0" collapsed="false">
      <c r="B55" s="0" t="s">
        <v>45</v>
      </c>
      <c r="C55" s="9" t="n">
        <v>0.028</v>
      </c>
      <c r="D55" s="9" t="n">
        <v>0.028</v>
      </c>
      <c r="E55" s="9" t="n">
        <v>0.028</v>
      </c>
      <c r="F55" s="9" t="n">
        <v>0.028</v>
      </c>
      <c r="G55" s="9" t="n">
        <v>0.028</v>
      </c>
    </row>
    <row r="56" customFormat="false" ht="15" hidden="false" customHeight="false" outlineLevel="0" collapsed="false">
      <c r="B56" s="3" t="s">
        <v>46</v>
      </c>
      <c r="C56" s="13" t="n">
        <f aca="false">CHOOSE($C$4,C53,C54,C55)</f>
        <v>0.031</v>
      </c>
      <c r="D56" s="13" t="n">
        <f aca="false">CHOOSE($C$4,D53,D54,D55)</f>
        <v>0.031</v>
      </c>
      <c r="E56" s="13" t="n">
        <f aca="false">CHOOSE($C$4,E53,E54,E55)</f>
        <v>0.031</v>
      </c>
      <c r="F56" s="13" t="n">
        <f aca="false">CHOOSE($C$4,F53,F54,F55)</f>
        <v>0.031</v>
      </c>
      <c r="G56" s="13" t="n">
        <f aca="false">CHOOSE($C$4,G53,G54,G55)</f>
        <v>0.031</v>
      </c>
    </row>
    <row r="58" customFormat="false" ht="15" hidden="false" customHeight="false" outlineLevel="0" collapsed="false">
      <c r="B58" s="3" t="s">
        <v>59</v>
      </c>
      <c r="I58" s="2" t="s">
        <v>60</v>
      </c>
    </row>
    <row r="59" customFormat="false" ht="15" hidden="false" customHeight="false" outlineLevel="0" collapsed="false">
      <c r="B59" s="0" t="s">
        <v>43</v>
      </c>
      <c r="C59" s="9" t="n">
        <v>0.031</v>
      </c>
      <c r="D59" s="9" t="n">
        <v>0.031</v>
      </c>
      <c r="E59" s="9" t="n">
        <v>0.031</v>
      </c>
      <c r="F59" s="9" t="n">
        <v>0.031</v>
      </c>
      <c r="G59" s="9" t="n">
        <v>0.031</v>
      </c>
    </row>
    <row r="60" customFormat="false" ht="15" hidden="false" customHeight="false" outlineLevel="0" collapsed="false">
      <c r="B60" s="0" t="s">
        <v>44</v>
      </c>
      <c r="C60" s="9" t="n">
        <v>0.031</v>
      </c>
      <c r="D60" s="9" t="n">
        <v>0.031</v>
      </c>
      <c r="E60" s="9" t="n">
        <v>0.031</v>
      </c>
      <c r="F60" s="9" t="n">
        <v>0.031</v>
      </c>
      <c r="G60" s="9" t="n">
        <v>0.031</v>
      </c>
    </row>
    <row r="61" customFormat="false" ht="15" hidden="false" customHeight="false" outlineLevel="0" collapsed="false">
      <c r="B61" s="0" t="s">
        <v>45</v>
      </c>
      <c r="C61" s="9" t="n">
        <v>0.031</v>
      </c>
      <c r="D61" s="9" t="n">
        <v>0.031</v>
      </c>
      <c r="E61" s="9" t="n">
        <v>0.031</v>
      </c>
      <c r="F61" s="9" t="n">
        <v>0.031</v>
      </c>
      <c r="G61" s="9" t="n">
        <v>0.031</v>
      </c>
    </row>
    <row r="62" customFormat="false" ht="15" hidden="false" customHeight="false" outlineLevel="0" collapsed="false">
      <c r="B62" s="3" t="s">
        <v>46</v>
      </c>
      <c r="C62" s="13" t="n">
        <f aca="false">CHOOSE($C$4,C59,C60,C61)</f>
        <v>0.031</v>
      </c>
      <c r="D62" s="13" t="n">
        <f aca="false">CHOOSE($C$4,D59,D60,D61)</f>
        <v>0.031</v>
      </c>
      <c r="E62" s="13" t="n">
        <f aca="false">CHOOSE($C$4,E59,E60,E61)</f>
        <v>0.031</v>
      </c>
      <c r="F62" s="13" t="n">
        <f aca="false">CHOOSE($C$4,F59,F60,F61)</f>
        <v>0.031</v>
      </c>
      <c r="G62" s="13" t="n">
        <f aca="false">CHOOSE($C$4,G59,G60,G61)</f>
        <v>0.031</v>
      </c>
    </row>
    <row r="64" customFormat="false" ht="15" hidden="false" customHeight="false" outlineLevel="0" collapsed="false">
      <c r="B64" s="3" t="s">
        <v>61</v>
      </c>
      <c r="I64" s="2" t="s">
        <v>62</v>
      </c>
    </row>
    <row r="65" customFormat="false" ht="15" hidden="false" customHeight="false" outlineLevel="0" collapsed="false">
      <c r="B65" s="0" t="s">
        <v>43</v>
      </c>
      <c r="C65" s="10" t="n">
        <v>64</v>
      </c>
      <c r="D65" s="10" t="n">
        <v>64</v>
      </c>
      <c r="E65" s="10" t="n">
        <v>64</v>
      </c>
      <c r="F65" s="10" t="n">
        <v>64</v>
      </c>
      <c r="G65" s="10" t="n">
        <v>64</v>
      </c>
    </row>
    <row r="66" customFormat="false" ht="15" hidden="false" customHeight="false" outlineLevel="0" collapsed="false">
      <c r="B66" s="0" t="s">
        <v>44</v>
      </c>
      <c r="C66" s="10" t="n">
        <v>62</v>
      </c>
      <c r="D66" s="10" t="n">
        <v>62</v>
      </c>
      <c r="E66" s="10" t="n">
        <v>62</v>
      </c>
      <c r="F66" s="10" t="n">
        <v>62</v>
      </c>
      <c r="G66" s="10" t="n">
        <v>62</v>
      </c>
    </row>
    <row r="67" customFormat="false" ht="15" hidden="false" customHeight="false" outlineLevel="0" collapsed="false">
      <c r="B67" s="0" t="s">
        <v>45</v>
      </c>
      <c r="C67" s="10" t="n">
        <v>67</v>
      </c>
      <c r="D67" s="10" t="n">
        <v>67</v>
      </c>
      <c r="E67" s="10" t="n">
        <v>67</v>
      </c>
      <c r="F67" s="10" t="n">
        <v>67</v>
      </c>
      <c r="G67" s="10" t="n">
        <v>67</v>
      </c>
    </row>
    <row r="68" customFormat="false" ht="15" hidden="false" customHeight="false" outlineLevel="0" collapsed="false">
      <c r="B68" s="3" t="s">
        <v>46</v>
      </c>
      <c r="C68" s="14" t="n">
        <f aca="false">CHOOSE($C$4,C65,C66,C67)</f>
        <v>64</v>
      </c>
      <c r="D68" s="14" t="n">
        <f aca="false">CHOOSE($C$4,D65,D66,D67)</f>
        <v>64</v>
      </c>
      <c r="E68" s="14" t="n">
        <f aca="false">CHOOSE($C$4,E65,E66,E67)</f>
        <v>64</v>
      </c>
      <c r="F68" s="14" t="n">
        <f aca="false">CHOOSE($C$4,F65,F66,F67)</f>
        <v>64</v>
      </c>
      <c r="G68" s="14" t="n">
        <f aca="false">CHOOSE($C$4,G65,G66,G67)</f>
        <v>64</v>
      </c>
    </row>
    <row r="70" customFormat="false" ht="15" hidden="false" customHeight="false" outlineLevel="0" collapsed="false">
      <c r="B70" s="3" t="s">
        <v>63</v>
      </c>
      <c r="I70" s="2" t="s">
        <v>64</v>
      </c>
    </row>
    <row r="71" customFormat="false" ht="15" hidden="false" customHeight="false" outlineLevel="0" collapsed="false">
      <c r="B71" s="0" t="s">
        <v>43</v>
      </c>
      <c r="C71" s="10" t="n">
        <v>10</v>
      </c>
      <c r="D71" s="10" t="n">
        <v>10</v>
      </c>
      <c r="E71" s="10" t="n">
        <v>10</v>
      </c>
      <c r="F71" s="10" t="n">
        <v>10</v>
      </c>
      <c r="G71" s="10" t="n">
        <v>10</v>
      </c>
    </row>
    <row r="72" customFormat="false" ht="15" hidden="false" customHeight="false" outlineLevel="0" collapsed="false">
      <c r="B72" s="0" t="s">
        <v>44</v>
      </c>
      <c r="C72" s="10" t="n">
        <v>9</v>
      </c>
      <c r="D72" s="10" t="n">
        <v>9</v>
      </c>
      <c r="E72" s="10" t="n">
        <v>9</v>
      </c>
      <c r="F72" s="10" t="n">
        <v>9</v>
      </c>
      <c r="G72" s="10" t="n">
        <v>9</v>
      </c>
    </row>
    <row r="73" customFormat="false" ht="15" hidden="false" customHeight="false" outlineLevel="0" collapsed="false">
      <c r="B73" s="0" t="s">
        <v>45</v>
      </c>
      <c r="C73" s="10" t="n">
        <v>12</v>
      </c>
      <c r="D73" s="10" t="n">
        <v>12</v>
      </c>
      <c r="E73" s="10" t="n">
        <v>12</v>
      </c>
      <c r="F73" s="10" t="n">
        <v>12</v>
      </c>
      <c r="G73" s="10" t="n">
        <v>12</v>
      </c>
    </row>
    <row r="74" customFormat="false" ht="15" hidden="false" customHeight="false" outlineLevel="0" collapsed="false">
      <c r="B74" s="3" t="s">
        <v>46</v>
      </c>
      <c r="C74" s="14" t="n">
        <f aca="false">CHOOSE($C$4,C71,C72,C73)</f>
        <v>10</v>
      </c>
      <c r="D74" s="14" t="n">
        <f aca="false">CHOOSE($C$4,D71,D72,D73)</f>
        <v>10</v>
      </c>
      <c r="E74" s="14" t="n">
        <f aca="false">CHOOSE($C$4,E71,E72,E73)</f>
        <v>10</v>
      </c>
      <c r="F74" s="14" t="n">
        <f aca="false">CHOOSE($C$4,F71,F72,F73)</f>
        <v>10</v>
      </c>
      <c r="G74" s="14" t="n">
        <f aca="false">CHOOSE($C$4,G71,G72,G73)</f>
        <v>10</v>
      </c>
    </row>
    <row r="76" customFormat="false" ht="15" hidden="false" customHeight="false" outlineLevel="0" collapsed="false">
      <c r="B76" s="3" t="s">
        <v>65</v>
      </c>
      <c r="I76" s="2" t="s">
        <v>66</v>
      </c>
    </row>
    <row r="77" customFormat="false" ht="15" hidden="false" customHeight="false" outlineLevel="0" collapsed="false">
      <c r="B77" s="0" t="s">
        <v>43</v>
      </c>
      <c r="C77" s="10" t="n">
        <v>115</v>
      </c>
      <c r="D77" s="10" t="n">
        <v>115</v>
      </c>
      <c r="E77" s="10" t="n">
        <v>115</v>
      </c>
      <c r="F77" s="10" t="n">
        <v>115</v>
      </c>
      <c r="G77" s="10" t="n">
        <v>115</v>
      </c>
    </row>
    <row r="78" customFormat="false" ht="15" hidden="false" customHeight="false" outlineLevel="0" collapsed="false">
      <c r="B78" s="0" t="s">
        <v>44</v>
      </c>
      <c r="C78" s="10" t="n">
        <v>117</v>
      </c>
      <c r="D78" s="10" t="n">
        <v>117</v>
      </c>
      <c r="E78" s="10" t="n">
        <v>117</v>
      </c>
      <c r="F78" s="10" t="n">
        <v>117</v>
      </c>
      <c r="G78" s="10" t="n">
        <v>117</v>
      </c>
    </row>
    <row r="79" customFormat="false" ht="15" hidden="false" customHeight="false" outlineLevel="0" collapsed="false">
      <c r="B79" s="0" t="s">
        <v>45</v>
      </c>
      <c r="C79" s="10" t="n">
        <v>110</v>
      </c>
      <c r="D79" s="10" t="n">
        <v>110</v>
      </c>
      <c r="E79" s="10" t="n">
        <v>110</v>
      </c>
      <c r="F79" s="10" t="n">
        <v>110</v>
      </c>
      <c r="G79" s="10" t="n">
        <v>110</v>
      </c>
    </row>
    <row r="80" customFormat="false" ht="15" hidden="false" customHeight="false" outlineLevel="0" collapsed="false">
      <c r="B80" s="3" t="s">
        <v>46</v>
      </c>
      <c r="C80" s="14" t="n">
        <f aca="false">CHOOSE($C$4,C77,C78,C79)</f>
        <v>115</v>
      </c>
      <c r="D80" s="14" t="n">
        <f aca="false">CHOOSE($C$4,D77,D78,D79)</f>
        <v>115</v>
      </c>
      <c r="E80" s="14" t="n">
        <f aca="false">CHOOSE($C$4,E77,E78,E79)</f>
        <v>115</v>
      </c>
      <c r="F80" s="14" t="n">
        <f aca="false">CHOOSE($C$4,F77,F78,F79)</f>
        <v>115</v>
      </c>
      <c r="G80" s="14" t="n">
        <f aca="false">CHOOSE($C$4,G77,G78,G79)</f>
        <v>115</v>
      </c>
    </row>
    <row r="82" customFormat="false" ht="15" hidden="false" customHeight="false" outlineLevel="0" collapsed="false">
      <c r="B82" s="3" t="s">
        <v>67</v>
      </c>
      <c r="I82" s="2" t="s">
        <v>68</v>
      </c>
    </row>
    <row r="83" customFormat="false" ht="15" hidden="false" customHeight="false" outlineLevel="0" collapsed="false">
      <c r="B83" s="0" t="s">
        <v>43</v>
      </c>
      <c r="C83" s="9" t="n">
        <v>0.035</v>
      </c>
      <c r="D83" s="9" t="n">
        <v>0.035</v>
      </c>
      <c r="E83" s="9" t="n">
        <v>0.035</v>
      </c>
      <c r="F83" s="9" t="n">
        <v>0.035</v>
      </c>
      <c r="G83" s="9" t="n">
        <v>0.035</v>
      </c>
    </row>
    <row r="84" customFormat="false" ht="15" hidden="false" customHeight="false" outlineLevel="0" collapsed="false">
      <c r="B84" s="0" t="s">
        <v>44</v>
      </c>
      <c r="C84" s="9" t="n">
        <v>0.035</v>
      </c>
      <c r="D84" s="9" t="n">
        <v>0.035</v>
      </c>
      <c r="E84" s="9" t="n">
        <v>0.035</v>
      </c>
      <c r="F84" s="9" t="n">
        <v>0.035</v>
      </c>
      <c r="G84" s="9" t="n">
        <v>0.035</v>
      </c>
    </row>
    <row r="85" customFormat="false" ht="15" hidden="false" customHeight="false" outlineLevel="0" collapsed="false">
      <c r="B85" s="0" t="s">
        <v>45</v>
      </c>
      <c r="C85" s="9" t="n">
        <v>0.035</v>
      </c>
      <c r="D85" s="9" t="n">
        <v>0.035</v>
      </c>
      <c r="E85" s="9" t="n">
        <v>0.035</v>
      </c>
      <c r="F85" s="9" t="n">
        <v>0.035</v>
      </c>
      <c r="G85" s="9" t="n">
        <v>0.035</v>
      </c>
    </row>
    <row r="86" customFormat="false" ht="15" hidden="false" customHeight="false" outlineLevel="0" collapsed="false">
      <c r="B86" s="3" t="s">
        <v>46</v>
      </c>
      <c r="C86" s="13" t="n">
        <f aca="false">CHOOSE($C$4,C83,C84,C85)</f>
        <v>0.035</v>
      </c>
      <c r="D86" s="13" t="n">
        <f aca="false">CHOOSE($C$4,D83,D84,D85)</f>
        <v>0.035</v>
      </c>
      <c r="E86" s="13" t="n">
        <f aca="false">CHOOSE($C$4,E83,E84,E85)</f>
        <v>0.035</v>
      </c>
      <c r="F86" s="13" t="n">
        <f aca="false">CHOOSE($C$4,F83,F84,F85)</f>
        <v>0.035</v>
      </c>
      <c r="G86" s="13" t="n">
        <f aca="false">CHOOSE($C$4,G83,G84,G85)</f>
        <v>0.035</v>
      </c>
    </row>
    <row r="88" customFormat="false" ht="15" hidden="false" customHeight="false" outlineLevel="0" collapsed="false">
      <c r="B88" s="3" t="s">
        <v>69</v>
      </c>
      <c r="I88" s="2" t="s">
        <v>70</v>
      </c>
    </row>
    <row r="89" customFormat="false" ht="15" hidden="false" customHeight="false" outlineLevel="0" collapsed="false">
      <c r="B89" s="0" t="s">
        <v>43</v>
      </c>
      <c r="C89" s="9" t="n">
        <v>0.18</v>
      </c>
      <c r="D89" s="9" t="n">
        <v>0.18</v>
      </c>
      <c r="E89" s="9" t="n">
        <v>0.18</v>
      </c>
      <c r="F89" s="9" t="n">
        <v>0.18</v>
      </c>
      <c r="G89" s="9" t="n">
        <v>0.18</v>
      </c>
    </row>
    <row r="90" customFormat="false" ht="15" hidden="false" customHeight="false" outlineLevel="0" collapsed="false">
      <c r="B90" s="0" t="s">
        <v>44</v>
      </c>
      <c r="C90" s="9" t="n">
        <v>0.18</v>
      </c>
      <c r="D90" s="9" t="n">
        <v>0.18</v>
      </c>
      <c r="E90" s="9" t="n">
        <v>0.18</v>
      </c>
      <c r="F90" s="9" t="n">
        <v>0.18</v>
      </c>
      <c r="G90" s="9" t="n">
        <v>0.18</v>
      </c>
    </row>
    <row r="91" customFormat="false" ht="15" hidden="false" customHeight="false" outlineLevel="0" collapsed="false">
      <c r="B91" s="0" t="s">
        <v>45</v>
      </c>
      <c r="C91" s="9" t="n">
        <v>0.18</v>
      </c>
      <c r="D91" s="9" t="n">
        <v>0.18</v>
      </c>
      <c r="E91" s="9" t="n">
        <v>0.18</v>
      </c>
      <c r="F91" s="9" t="n">
        <v>0.18</v>
      </c>
      <c r="G91" s="9" t="n">
        <v>0.18</v>
      </c>
    </row>
    <row r="92" customFormat="false" ht="15" hidden="false" customHeight="false" outlineLevel="0" collapsed="false">
      <c r="B92" s="3" t="s">
        <v>46</v>
      </c>
      <c r="C92" s="13" t="n">
        <f aca="false">CHOOSE($C$4,C89,C90,C91)</f>
        <v>0.18</v>
      </c>
      <c r="D92" s="13" t="n">
        <f aca="false">CHOOSE($C$4,D89,D90,D91)</f>
        <v>0.18</v>
      </c>
      <c r="E92" s="13" t="n">
        <f aca="false">CHOOSE($C$4,E89,E90,E91)</f>
        <v>0.18</v>
      </c>
      <c r="F92" s="13" t="n">
        <f aca="false">CHOOSE($C$4,F89,F90,F91)</f>
        <v>0.18</v>
      </c>
      <c r="G92" s="13" t="n">
        <f aca="false">CHOOSE($C$4,G89,G90,G91)</f>
        <v>0.18</v>
      </c>
    </row>
    <row r="94" customFormat="false" ht="15" hidden="false" customHeight="false" outlineLevel="0" collapsed="false">
      <c r="B94" s="3" t="s">
        <v>71</v>
      </c>
      <c r="I94" s="2" t="s">
        <v>72</v>
      </c>
    </row>
    <row r="95" customFormat="false" ht="15" hidden="false" customHeight="false" outlineLevel="0" collapsed="false">
      <c r="B95" s="0" t="s">
        <v>43</v>
      </c>
      <c r="C95" s="9" t="n">
        <v>0.2</v>
      </c>
      <c r="D95" s="9" t="n">
        <v>0.2</v>
      </c>
      <c r="E95" s="9" t="n">
        <v>0.2</v>
      </c>
      <c r="F95" s="9" t="n">
        <v>0.2</v>
      </c>
      <c r="G95" s="9" t="n">
        <v>0.2</v>
      </c>
    </row>
    <row r="96" customFormat="false" ht="15" hidden="false" customHeight="false" outlineLevel="0" collapsed="false">
      <c r="B96" s="0" t="s">
        <v>44</v>
      </c>
      <c r="C96" s="9" t="n">
        <v>0.2</v>
      </c>
      <c r="D96" s="9" t="n">
        <v>0.2</v>
      </c>
      <c r="E96" s="9" t="n">
        <v>0.2</v>
      </c>
      <c r="F96" s="9" t="n">
        <v>0.2</v>
      </c>
      <c r="G96" s="9" t="n">
        <v>0.2</v>
      </c>
    </row>
    <row r="97" customFormat="false" ht="15" hidden="false" customHeight="false" outlineLevel="0" collapsed="false">
      <c r="B97" s="0" t="s">
        <v>45</v>
      </c>
      <c r="C97" s="9" t="n">
        <v>0.2</v>
      </c>
      <c r="D97" s="9" t="n">
        <v>0.2</v>
      </c>
      <c r="E97" s="9" t="n">
        <v>0.2</v>
      </c>
      <c r="F97" s="9" t="n">
        <v>0.2</v>
      </c>
      <c r="G97" s="9" t="n">
        <v>0.2</v>
      </c>
    </row>
    <row r="98" customFormat="false" ht="15" hidden="false" customHeight="false" outlineLevel="0" collapsed="false">
      <c r="B98" s="3" t="s">
        <v>46</v>
      </c>
      <c r="C98" s="13" t="n">
        <f aca="false">CHOOSE($C$4,C95,C96,C97)</f>
        <v>0.2</v>
      </c>
      <c r="D98" s="13" t="n">
        <f aca="false">CHOOSE($C$4,D95,D96,D97)</f>
        <v>0.2</v>
      </c>
      <c r="E98" s="13" t="n">
        <f aca="false">CHOOSE($C$4,E95,E96,E97)</f>
        <v>0.2</v>
      </c>
      <c r="F98" s="13" t="n">
        <f aca="false">CHOOSE($C$4,F95,F96,F97)</f>
        <v>0.2</v>
      </c>
      <c r="G98" s="13" t="n">
        <f aca="false">CHOOSE($C$4,G95,G96,G97)</f>
        <v>0.2</v>
      </c>
    </row>
    <row r="100" customFormat="false" ht="15" hidden="false" customHeight="false" outlineLevel="0" collapsed="false">
      <c r="B100" s="3" t="s">
        <v>73</v>
      </c>
      <c r="I100" s="2" t="s">
        <v>74</v>
      </c>
    </row>
    <row r="101" customFormat="false" ht="15" hidden="false" customHeight="false" outlineLevel="0" collapsed="false">
      <c r="B101" s="0" t="s">
        <v>43</v>
      </c>
      <c r="C101" s="9" t="n">
        <v>0.1</v>
      </c>
      <c r="D101" s="9" t="n">
        <v>0.1</v>
      </c>
      <c r="E101" s="9" t="n">
        <v>0.1</v>
      </c>
      <c r="F101" s="9" t="n">
        <v>0.1</v>
      </c>
      <c r="G101" s="9" t="n">
        <v>0.1</v>
      </c>
    </row>
    <row r="102" customFormat="false" ht="15" hidden="false" customHeight="false" outlineLevel="0" collapsed="false">
      <c r="B102" s="0" t="s">
        <v>44</v>
      </c>
      <c r="C102" s="9" t="n">
        <v>0.1</v>
      </c>
      <c r="D102" s="9" t="n">
        <v>0.1</v>
      </c>
      <c r="E102" s="9" t="n">
        <v>0.1</v>
      </c>
      <c r="F102" s="9" t="n">
        <v>0.1</v>
      </c>
      <c r="G102" s="9" t="n">
        <v>0.1</v>
      </c>
    </row>
    <row r="103" customFormat="false" ht="15" hidden="false" customHeight="false" outlineLevel="0" collapsed="false">
      <c r="B103" s="0" t="s">
        <v>45</v>
      </c>
      <c r="C103" s="9" t="n">
        <v>0.1</v>
      </c>
      <c r="D103" s="9" t="n">
        <v>0.1</v>
      </c>
      <c r="E103" s="9" t="n">
        <v>0.1</v>
      </c>
      <c r="F103" s="9" t="n">
        <v>0.1</v>
      </c>
      <c r="G103" s="9" t="n">
        <v>0.1</v>
      </c>
    </row>
    <row r="104" customFormat="false" ht="15" hidden="false" customHeight="false" outlineLevel="0" collapsed="false">
      <c r="B104" s="3" t="s">
        <v>46</v>
      </c>
      <c r="C104" s="13" t="n">
        <f aca="false">CHOOSE($C$4,C101,C102,C103)</f>
        <v>0.1</v>
      </c>
      <c r="D104" s="13" t="n">
        <f aca="false">CHOOSE($C$4,D101,D102,D103)</f>
        <v>0.1</v>
      </c>
      <c r="E104" s="13" t="n">
        <f aca="false">CHOOSE($C$4,E101,E102,E103)</f>
        <v>0.1</v>
      </c>
      <c r="F104" s="13" t="n">
        <f aca="false">CHOOSE($C$4,F101,F102,F103)</f>
        <v>0.1</v>
      </c>
      <c r="G104" s="13" t="n">
        <f aca="false">CHOOSE($C$4,G101,G102,G103)</f>
        <v>0.1</v>
      </c>
    </row>
    <row r="106" customFormat="false" ht="15" hidden="false" customHeight="false" outlineLevel="0" collapsed="false">
      <c r="B106" s="3" t="s">
        <v>75</v>
      </c>
      <c r="I106" s="2" t="s">
        <v>76</v>
      </c>
    </row>
    <row r="107" customFormat="false" ht="15" hidden="false" customHeight="false" outlineLevel="0" collapsed="false">
      <c r="B107" s="0" t="s">
        <v>43</v>
      </c>
      <c r="C107" s="10" t="n">
        <v>-10</v>
      </c>
      <c r="D107" s="10" t="n">
        <v>-10</v>
      </c>
      <c r="E107" s="10" t="n">
        <v>-10</v>
      </c>
      <c r="F107" s="10" t="n">
        <v>-5</v>
      </c>
      <c r="G107" s="10" t="n">
        <v>-5</v>
      </c>
    </row>
    <row r="108" customFormat="false" ht="15" hidden="false" customHeight="false" outlineLevel="0" collapsed="false">
      <c r="B108" s="0" t="s">
        <v>44</v>
      </c>
      <c r="C108" s="10" t="n">
        <v>-15</v>
      </c>
      <c r="D108" s="10" t="n">
        <v>-15</v>
      </c>
      <c r="E108" s="10" t="n">
        <v>-10</v>
      </c>
      <c r="F108" s="10" t="n">
        <v>-10</v>
      </c>
      <c r="G108" s="10" t="n">
        <v>-5</v>
      </c>
    </row>
    <row r="109" customFormat="false" ht="15" hidden="false" customHeight="false" outlineLevel="0" collapsed="false">
      <c r="B109" s="0" t="s">
        <v>45</v>
      </c>
      <c r="C109" s="10" t="n">
        <v>-5</v>
      </c>
      <c r="D109" s="10" t="n">
        <v>-5</v>
      </c>
      <c r="E109" s="10" t="n">
        <v>-5</v>
      </c>
      <c r="F109" s="10" t="n">
        <v>-5</v>
      </c>
      <c r="G109" s="10" t="n">
        <v>-5</v>
      </c>
    </row>
    <row r="110" customFormat="false" ht="15" hidden="false" customHeight="false" outlineLevel="0" collapsed="false">
      <c r="B110" s="3" t="s">
        <v>46</v>
      </c>
      <c r="C110" s="14" t="n">
        <f aca="false">CHOOSE($C$4,C107,C108,C109)</f>
        <v>-10</v>
      </c>
      <c r="D110" s="14" t="n">
        <f aca="false">CHOOSE($C$4,D107,D108,D109)</f>
        <v>-10</v>
      </c>
      <c r="E110" s="14" t="n">
        <f aca="false">CHOOSE($C$4,E107,E108,E109)</f>
        <v>-10</v>
      </c>
      <c r="F110" s="14" t="n">
        <f aca="false">CHOOSE($C$4,F107,F108,F109)</f>
        <v>-5</v>
      </c>
      <c r="G110" s="14" t="n">
        <f aca="false">CHOOSE($C$4,G107,G108,G109)</f>
        <v>-5</v>
      </c>
    </row>
    <row r="112" customFormat="false" ht="15" hidden="false" customHeight="false" outlineLevel="0" collapsed="false">
      <c r="B112" s="3" t="s">
        <v>77</v>
      </c>
      <c r="I112" s="2" t="s">
        <v>78</v>
      </c>
    </row>
    <row r="113" customFormat="false" ht="15" hidden="false" customHeight="false" outlineLevel="0" collapsed="false">
      <c r="B113" s="0" t="s">
        <v>43</v>
      </c>
      <c r="C113" s="10" t="n">
        <v>15.8</v>
      </c>
      <c r="D113" s="10" t="n">
        <v>16.2</v>
      </c>
      <c r="E113" s="10" t="n">
        <v>16.6</v>
      </c>
      <c r="F113" s="10" t="n">
        <v>17</v>
      </c>
      <c r="G113" s="10" t="n">
        <v>17.4</v>
      </c>
    </row>
    <row r="114" customFormat="false" ht="15" hidden="false" customHeight="false" outlineLevel="0" collapsed="false">
      <c r="B114" s="0" t="s">
        <v>44</v>
      </c>
      <c r="C114" s="10" t="n">
        <v>16</v>
      </c>
      <c r="D114" s="10" t="n">
        <v>16.5</v>
      </c>
      <c r="E114" s="10" t="n">
        <v>17</v>
      </c>
      <c r="F114" s="10" t="n">
        <v>17.5</v>
      </c>
      <c r="G114" s="10" t="n">
        <v>18</v>
      </c>
    </row>
    <row r="115" customFormat="false" ht="15" hidden="false" customHeight="false" outlineLevel="0" collapsed="false">
      <c r="B115" s="0" t="s">
        <v>45</v>
      </c>
      <c r="C115" s="10" t="n">
        <v>15.6</v>
      </c>
      <c r="D115" s="10" t="n">
        <v>15.8</v>
      </c>
      <c r="E115" s="10" t="n">
        <v>16</v>
      </c>
      <c r="F115" s="10" t="n">
        <v>16.2</v>
      </c>
      <c r="G115" s="10" t="n">
        <v>16.4</v>
      </c>
    </row>
    <row r="116" customFormat="false" ht="15" hidden="false" customHeight="false" outlineLevel="0" collapsed="false">
      <c r="B116" s="3" t="s">
        <v>46</v>
      </c>
      <c r="C116" s="14" t="n">
        <f aca="false">CHOOSE($C$4,C113,C114,C115)</f>
        <v>15.8</v>
      </c>
      <c r="D116" s="14" t="n">
        <f aca="false">CHOOSE($C$4,D113,D114,D115)</f>
        <v>16.2</v>
      </c>
      <c r="E116" s="14" t="n">
        <f aca="false">CHOOSE($C$4,E113,E114,E115)</f>
        <v>16.6</v>
      </c>
      <c r="F116" s="14" t="n">
        <f aca="false">CHOOSE($C$4,F113,F114,F115)</f>
        <v>17</v>
      </c>
      <c r="G116" s="14" t="n">
        <f aca="false">CHOOSE($C$4,G113,G114,G115)</f>
        <v>17.4</v>
      </c>
    </row>
    <row r="118" customFormat="false" ht="15" hidden="false" customHeight="false" outlineLevel="0" collapsed="false">
      <c r="B118" s="3" t="s">
        <v>79</v>
      </c>
      <c r="I118" s="2" t="s">
        <v>80</v>
      </c>
    </row>
    <row r="119" customFormat="false" ht="15" hidden="false" customHeight="false" outlineLevel="0" collapsed="false">
      <c r="B119" s="0" t="s">
        <v>43</v>
      </c>
      <c r="C119" s="9" t="n">
        <v>1</v>
      </c>
      <c r="D119" s="9" t="n">
        <v>1</v>
      </c>
      <c r="E119" s="9" t="n">
        <v>1</v>
      </c>
      <c r="F119" s="9" t="n">
        <v>1</v>
      </c>
      <c r="G119" s="9" t="n">
        <v>1</v>
      </c>
    </row>
    <row r="120" customFormat="false" ht="15" hidden="false" customHeight="false" outlineLevel="0" collapsed="false">
      <c r="B120" s="0" t="s">
        <v>44</v>
      </c>
      <c r="C120" s="9" t="n">
        <v>1.1</v>
      </c>
      <c r="D120" s="9" t="n">
        <v>1.1</v>
      </c>
      <c r="E120" s="9" t="n">
        <v>1.1</v>
      </c>
      <c r="F120" s="9" t="n">
        <v>1.1</v>
      </c>
      <c r="G120" s="9" t="n">
        <v>1.1</v>
      </c>
    </row>
    <row r="121" customFormat="false" ht="15" hidden="false" customHeight="false" outlineLevel="0" collapsed="false">
      <c r="B121" s="0" t="s">
        <v>45</v>
      </c>
      <c r="C121" s="9" t="n">
        <v>0.8</v>
      </c>
      <c r="D121" s="9" t="n">
        <v>0.8</v>
      </c>
      <c r="E121" s="9" t="n">
        <v>0.8</v>
      </c>
      <c r="F121" s="9" t="n">
        <v>0.8</v>
      </c>
      <c r="G121" s="9" t="n">
        <v>0.8</v>
      </c>
    </row>
    <row r="122" customFormat="false" ht="15" hidden="false" customHeight="false" outlineLevel="0" collapsed="false">
      <c r="B122" s="3" t="s">
        <v>46</v>
      </c>
      <c r="C122" s="13" t="n">
        <f aca="false">CHOOSE($C$4,C119,C120,C121)</f>
        <v>1</v>
      </c>
      <c r="D122" s="13" t="n">
        <f aca="false">CHOOSE($C$4,D119,D120,D121)</f>
        <v>1</v>
      </c>
      <c r="E122" s="13" t="n">
        <f aca="false">CHOOSE($C$4,E119,E120,E121)</f>
        <v>1</v>
      </c>
      <c r="F122" s="13" t="n">
        <f aca="false">CHOOSE($C$4,F119,F120,F121)</f>
        <v>1</v>
      </c>
      <c r="G122" s="13" t="n">
        <f aca="false">CHOOSE($C$4,G119,G120,G121)</f>
        <v>1</v>
      </c>
    </row>
    <row r="124" customFormat="false" ht="15" hidden="false" customHeight="false" outlineLevel="0" collapsed="false">
      <c r="B124" s="3" t="s">
        <v>81</v>
      </c>
      <c r="I124" s="2" t="s">
        <v>82</v>
      </c>
    </row>
    <row r="125" customFormat="false" ht="15" hidden="false" customHeight="false" outlineLevel="0" collapsed="false">
      <c r="B125" s="0" t="s">
        <v>43</v>
      </c>
      <c r="C125" s="10" t="n">
        <v>10</v>
      </c>
      <c r="D125" s="10" t="n">
        <v>10</v>
      </c>
      <c r="E125" s="10" t="n">
        <v>10</v>
      </c>
      <c r="F125" s="10" t="n">
        <v>8</v>
      </c>
      <c r="G125" s="10" t="n">
        <v>8</v>
      </c>
    </row>
    <row r="126" customFormat="false" ht="15" hidden="false" customHeight="false" outlineLevel="0" collapsed="false">
      <c r="B126" s="0" t="s">
        <v>44</v>
      </c>
      <c r="C126" s="10" t="n">
        <v>10</v>
      </c>
      <c r="D126" s="10" t="n">
        <v>10</v>
      </c>
      <c r="E126" s="10" t="n">
        <v>10</v>
      </c>
      <c r="F126" s="10" t="n">
        <v>8</v>
      </c>
      <c r="G126" s="10" t="n">
        <v>8</v>
      </c>
    </row>
    <row r="127" customFormat="false" ht="15" hidden="false" customHeight="false" outlineLevel="0" collapsed="false">
      <c r="B127" s="0" t="s">
        <v>45</v>
      </c>
      <c r="C127" s="10" t="n">
        <v>10</v>
      </c>
      <c r="D127" s="10" t="n">
        <v>10</v>
      </c>
      <c r="E127" s="10" t="n">
        <v>10</v>
      </c>
      <c r="F127" s="10" t="n">
        <v>8</v>
      </c>
      <c r="G127" s="10" t="n">
        <v>8</v>
      </c>
    </row>
    <row r="128" customFormat="false" ht="15" hidden="false" customHeight="false" outlineLevel="0" collapsed="false">
      <c r="B128" s="3" t="s">
        <v>46</v>
      </c>
      <c r="C128" s="14" t="n">
        <f aca="false">CHOOSE($C$4,C125,C126,C127)</f>
        <v>10</v>
      </c>
      <c r="D128" s="14" t="n">
        <f aca="false">CHOOSE($C$4,D125,D126,D127)</f>
        <v>10</v>
      </c>
      <c r="E128" s="14" t="n">
        <f aca="false">CHOOSE($C$4,E125,E126,E127)</f>
        <v>10</v>
      </c>
      <c r="F128" s="14" t="n">
        <f aca="false">CHOOSE($C$4,F125,F126,F127)</f>
        <v>8</v>
      </c>
      <c r="G128" s="14" t="n">
        <f aca="false">CHOOSE($C$4,G125,G126,G127)</f>
        <v>8</v>
      </c>
    </row>
    <row r="130" customFormat="false" ht="15" hidden="false" customHeight="false" outlineLevel="0" collapsed="false">
      <c r="B130" s="3" t="s">
        <v>83</v>
      </c>
      <c r="I130" s="2" t="s">
        <v>84</v>
      </c>
    </row>
    <row r="131" customFormat="false" ht="15" hidden="false" customHeight="false" outlineLevel="0" collapsed="false">
      <c r="B131" s="0" t="s">
        <v>43</v>
      </c>
      <c r="C131" s="10" t="n">
        <v>5</v>
      </c>
      <c r="D131" s="10" t="n">
        <v>5</v>
      </c>
      <c r="E131" s="10" t="n">
        <v>5</v>
      </c>
      <c r="F131" s="10" t="n">
        <v>5</v>
      </c>
      <c r="G131" s="10" t="n">
        <v>5</v>
      </c>
    </row>
    <row r="132" customFormat="false" ht="15" hidden="false" customHeight="false" outlineLevel="0" collapsed="false">
      <c r="B132" s="0" t="s">
        <v>44</v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</row>
    <row r="133" customFormat="false" ht="15" hidden="false" customHeight="false" outlineLevel="0" collapsed="false">
      <c r="B133" s="0" t="s">
        <v>45</v>
      </c>
      <c r="C133" s="10" t="n">
        <v>8</v>
      </c>
      <c r="D133" s="10" t="n">
        <v>8</v>
      </c>
      <c r="E133" s="10" t="n">
        <v>8</v>
      </c>
      <c r="F133" s="10" t="n">
        <v>8</v>
      </c>
      <c r="G133" s="10" t="n">
        <v>8</v>
      </c>
    </row>
    <row r="134" customFormat="false" ht="15" hidden="false" customHeight="false" outlineLevel="0" collapsed="false">
      <c r="B134" s="3" t="s">
        <v>46</v>
      </c>
      <c r="C134" s="14" t="n">
        <f aca="false">CHOOSE($C$4,C131,C132,C133)</f>
        <v>5</v>
      </c>
      <c r="D134" s="14" t="n">
        <f aca="false">CHOOSE($C$4,D131,D132,D133)</f>
        <v>5</v>
      </c>
      <c r="E134" s="14" t="n">
        <f aca="false">CHOOSE($C$4,E131,E132,E133)</f>
        <v>5</v>
      </c>
      <c r="F134" s="14" t="n">
        <f aca="false">CHOOSE($C$4,F131,F132,F133)</f>
        <v>5</v>
      </c>
      <c r="G134" s="14" t="n">
        <f aca="false">CHOOSE($C$4,G131,G132,G133)</f>
        <v>5</v>
      </c>
    </row>
  </sheetData>
  <mergeCells count="1"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1" min="3" style="0" width="12"/>
  </cols>
  <sheetData>
    <row r="2" customFormat="false" ht="17.35" hidden="false" customHeight="false" outlineLevel="0" collapsed="false">
      <c r="B2" s="1" t="str">
        <f aca="false">"Key outputs — "&amp;Inputs!$D$4&amp;" case (US$bn)"</f>
        <v>Key outputs — Base case (US$bn)</v>
      </c>
    </row>
    <row r="3" customFormat="false" ht="15" hidden="false" customHeight="false" outlineLevel="0" collapsed="false">
      <c r="B3" s="2" t="s">
        <v>85</v>
      </c>
    </row>
    <row r="5" customFormat="false" ht="15" hidden="false" customHeight="false" outlineLevel="0" collapsed="false">
      <c r="C5" s="11" t="s">
        <v>86</v>
      </c>
      <c r="D5" s="11" t="s">
        <v>87</v>
      </c>
      <c r="E5" s="11" t="s">
        <v>88</v>
      </c>
      <c r="F5" s="11" t="s">
        <v>89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</row>
    <row r="6" customFormat="false" ht="15" hidden="false" customHeight="false" outlineLevel="0" collapsed="false">
      <c r="B6" s="0" t="s">
        <v>90</v>
      </c>
      <c r="C6" s="15" t="n">
        <f aca="false">Model!C7</f>
        <v>394.328</v>
      </c>
      <c r="D6" s="15" t="n">
        <f aca="false">Model!D7</f>
        <v>383.285</v>
      </c>
      <c r="E6" s="15" t="n">
        <f aca="false">Model!E7</f>
        <v>391.035</v>
      </c>
      <c r="F6" s="15" t="n">
        <f aca="false">Model!F7</f>
        <v>416.161</v>
      </c>
      <c r="G6" s="15" t="n">
        <f aca="false">Model!G7</f>
        <v>441.13066</v>
      </c>
      <c r="H6" s="15" t="n">
        <f aca="false">Model!H7</f>
        <v>463.187193</v>
      </c>
      <c r="I6" s="15" t="n">
        <f aca="false">Model!I7</f>
        <v>486.34655265</v>
      </c>
      <c r="J6" s="15" t="n">
        <f aca="false">Model!J7</f>
        <v>505.800414756</v>
      </c>
      <c r="K6" s="15" t="n">
        <f aca="false">Model!K7</f>
        <v>526.03243134624</v>
      </c>
    </row>
    <row r="7" customFormat="false" ht="15" hidden="false" customHeight="false" outlineLevel="0" collapsed="false">
      <c r="B7" s="0" t="s">
        <v>91</v>
      </c>
      <c r="C7" s="16" t="n">
        <f aca="false">Model!C8</f>
        <v>0</v>
      </c>
      <c r="D7" s="16" t="n">
        <f aca="false">Model!D8</f>
        <v>-0.0280046053031993</v>
      </c>
      <c r="E7" s="16" t="n">
        <f aca="false">Model!E8</f>
        <v>0.0202199407751411</v>
      </c>
      <c r="F7" s="16" t="n">
        <f aca="false">Model!F8</f>
        <v>0.0642551178283273</v>
      </c>
      <c r="G7" s="16" t="n">
        <f aca="false">Model!G8</f>
        <v>0.0600000000000001</v>
      </c>
      <c r="H7" s="16" t="n">
        <f aca="false">Model!H8</f>
        <v>0.05</v>
      </c>
      <c r="I7" s="16" t="n">
        <f aca="false">Model!I8</f>
        <v>0.05</v>
      </c>
      <c r="J7" s="16" t="n">
        <f aca="false">Model!J8</f>
        <v>0.04</v>
      </c>
      <c r="K7" s="16" t="n">
        <f aca="false">Model!K8</f>
        <v>0.04</v>
      </c>
    </row>
    <row r="8" customFormat="false" ht="15" hidden="false" customHeight="false" outlineLevel="0" collapsed="false">
      <c r="B8" s="0" t="s">
        <v>47</v>
      </c>
      <c r="C8" s="16" t="n">
        <f aca="false">Model!C11</f>
        <v>0.433096305613601</v>
      </c>
      <c r="D8" s="16" t="n">
        <f aca="false">Model!D11</f>
        <v>0.441311295772076</v>
      </c>
      <c r="E8" s="16" t="n">
        <f aca="false">Model!E11</f>
        <v>0.462063498152339</v>
      </c>
      <c r="F8" s="16" t="n">
        <f aca="false">Model!F11</f>
        <v>0.469051641071604</v>
      </c>
      <c r="G8" s="16" t="n">
        <f aca="false">Model!G11</f>
        <v>0.47</v>
      </c>
      <c r="H8" s="16" t="n">
        <f aca="false">Model!H11</f>
        <v>0.472</v>
      </c>
      <c r="I8" s="16" t="n">
        <f aca="false">Model!I11</f>
        <v>0.474</v>
      </c>
      <c r="J8" s="16" t="n">
        <f aca="false">Model!J11</f>
        <v>0.475</v>
      </c>
      <c r="K8" s="16" t="n">
        <f aca="false">Model!K11</f>
        <v>0.475</v>
      </c>
    </row>
    <row r="9" customFormat="false" ht="15" hidden="false" customHeight="false" outlineLevel="0" collapsed="false">
      <c r="B9" s="0" t="s">
        <v>92</v>
      </c>
      <c r="C9" s="15" t="n">
        <f aca="false">Model!C14</f>
        <v>119.437</v>
      </c>
      <c r="D9" s="15" t="n">
        <f aca="false">Model!D14</f>
        <v>114.301</v>
      </c>
      <c r="E9" s="15" t="n">
        <f aca="false">Model!E14</f>
        <v>123.216</v>
      </c>
      <c r="F9" s="15" t="n">
        <f aca="false">Model!F14</f>
        <v>133.05</v>
      </c>
      <c r="G9" s="15" t="n">
        <f aca="false">Model!G14</f>
        <v>141.60294186</v>
      </c>
      <c r="H9" s="15" t="n">
        <f aca="false">Model!H14</f>
        <v>149.609463339</v>
      </c>
      <c r="I9" s="15" t="n">
        <f aca="false">Model!I14</f>
        <v>158.06262961125</v>
      </c>
      <c r="J9" s="15" t="n">
        <f aca="false">Model!J14</f>
        <v>164.890935210456</v>
      </c>
      <c r="K9" s="15" t="n">
        <f aca="false">Model!K14</f>
        <v>171.486572618874</v>
      </c>
    </row>
    <row r="10" customFormat="false" ht="15" hidden="false" customHeight="false" outlineLevel="0" collapsed="false">
      <c r="B10" s="0" t="s">
        <v>93</v>
      </c>
      <c r="C10" s="16" t="n">
        <f aca="false">Model!C15</f>
        <v>0.302887443955286</v>
      </c>
      <c r="D10" s="16" t="n">
        <f aca="false">Model!D15</f>
        <v>0.298214122650247</v>
      </c>
      <c r="E10" s="16" t="n">
        <f aca="false">Model!E15</f>
        <v>0.315102228700756</v>
      </c>
      <c r="F10" s="16" t="n">
        <f aca="false">Model!F15</f>
        <v>0.319707997625919</v>
      </c>
      <c r="G10" s="16" t="n">
        <f aca="false">Model!G15</f>
        <v>0.321</v>
      </c>
      <c r="H10" s="16" t="n">
        <f aca="false">Model!H15</f>
        <v>0.323</v>
      </c>
      <c r="I10" s="16" t="n">
        <f aca="false">Model!I15</f>
        <v>0.325</v>
      </c>
      <c r="J10" s="16" t="n">
        <f aca="false">Model!J15</f>
        <v>0.326</v>
      </c>
      <c r="K10" s="16" t="n">
        <f aca="false">Model!K15</f>
        <v>0.326</v>
      </c>
    </row>
    <row r="11" customFormat="false" ht="15" hidden="false" customHeight="false" outlineLevel="0" collapsed="false">
      <c r="B11" s="0" t="s">
        <v>94</v>
      </c>
      <c r="C11" s="15" t="n">
        <f aca="false">Model!C23</f>
        <v>99.803</v>
      </c>
      <c r="D11" s="15" t="n">
        <f aca="false">Model!D23</f>
        <v>96.995</v>
      </c>
      <c r="E11" s="15" t="n">
        <f aca="false">Model!E23</f>
        <v>93.736</v>
      </c>
      <c r="F11" s="15" t="n">
        <f aca="false">Model!F23</f>
        <v>112.01</v>
      </c>
      <c r="G11" s="15" t="n">
        <f aca="false">Model!G23</f>
        <v>119.3661406531</v>
      </c>
      <c r="H11" s="15" t="n">
        <f aca="false">Model!H23</f>
        <v>126.051586088065</v>
      </c>
      <c r="I11" s="15" t="n">
        <f aca="false">Model!I23</f>
        <v>133.109979925394</v>
      </c>
      <c r="J11" s="15" t="n">
        <f aca="false">Model!J23</f>
        <v>138.811615100731</v>
      </c>
      <c r="K11" s="15" t="n">
        <f aca="false">Model!K23</f>
        <v>144.31897233676</v>
      </c>
    </row>
    <row r="12" customFormat="false" ht="15" hidden="false" customHeight="false" outlineLevel="0" collapsed="false">
      <c r="B12" s="0" t="s">
        <v>95</v>
      </c>
      <c r="C12" s="17" t="n">
        <f aca="false">Model!C30</f>
        <v>6.11313242680387</v>
      </c>
      <c r="D12" s="17" t="n">
        <f aca="false">Model!D30</f>
        <v>6.13387718965408</v>
      </c>
      <c r="E12" s="17" t="n">
        <f aca="false">Model!E30</f>
        <v>6.08359293873313</v>
      </c>
      <c r="F12" s="17" t="n">
        <f aca="false">Model!F30</f>
        <v>7.46484505164945</v>
      </c>
      <c r="G12" s="17" t="n">
        <f aca="false">Model!G30</f>
        <v>8.16631985137037</v>
      </c>
      <c r="H12" s="17" t="n">
        <f aca="false">Model!H30</f>
        <v>8.8672721429792</v>
      </c>
      <c r="I12" s="17" t="n">
        <f aca="false">Model!I30</f>
        <v>9.63642373243425</v>
      </c>
      <c r="J12" s="17" t="n">
        <f aca="false">Model!J30</f>
        <v>10.3484358575566</v>
      </c>
      <c r="K12" s="17" t="n">
        <f aca="false">Model!K30</f>
        <v>11.0841854318452</v>
      </c>
    </row>
    <row r="13" customFormat="false" ht="15" hidden="false" customHeight="false" outlineLevel="0" collapsed="false">
      <c r="B13" s="0" t="s">
        <v>96</v>
      </c>
      <c r="C13" s="15" t="n">
        <f aca="false">Model!C100</f>
        <v>111.443</v>
      </c>
      <c r="D13" s="15" t="n">
        <f aca="false">Model!D100</f>
        <v>99.584</v>
      </c>
      <c r="E13" s="15" t="n">
        <f aca="false">Model!E100</f>
        <v>108.807</v>
      </c>
      <c r="F13" s="15" t="n">
        <f aca="false">Model!F100</f>
        <v>98.767</v>
      </c>
      <c r="G13" s="15" t="n">
        <f aca="false">Model!G100</f>
        <v>131.613059624881</v>
      </c>
      <c r="H13" s="15" t="n">
        <f aca="false">Model!H100</f>
        <v>139.242299254928</v>
      </c>
      <c r="I13" s="15" t="n">
        <f aca="false">Model!I100</f>
        <v>146.946904187514</v>
      </c>
      <c r="J13" s="15" t="n">
        <f aca="false">Model!J100</f>
        <v>153.236520606699</v>
      </c>
      <c r="K13" s="15" t="n">
        <f aca="false">Model!K100</f>
        <v>159.466378291869</v>
      </c>
    </row>
    <row r="14" customFormat="false" ht="15" hidden="false" customHeight="false" outlineLevel="0" collapsed="false">
      <c r="B14" s="0" t="s">
        <v>97</v>
      </c>
      <c r="C14" s="15" t="n">
        <f aca="false">Model!C101</f>
        <v>104.243</v>
      </c>
      <c r="D14" s="15" t="n">
        <f aca="false">Model!D101</f>
        <v>92.575</v>
      </c>
      <c r="E14" s="15" t="n">
        <f aca="false">Model!E101</f>
        <v>110.183</v>
      </c>
      <c r="F14" s="15" t="n">
        <f aca="false">Model!F101</f>
        <v>106.132</v>
      </c>
      <c r="G14" s="15" t="n">
        <f aca="false">Model!G101</f>
        <v>131.613059624881</v>
      </c>
      <c r="H14" s="15" t="n">
        <f aca="false">Model!H101</f>
        <v>139.242299254928</v>
      </c>
      <c r="I14" s="15" t="n">
        <f aca="false">Model!I101</f>
        <v>146.946904187514</v>
      </c>
      <c r="J14" s="15" t="n">
        <f aca="false">Model!J101</f>
        <v>153.236520606699</v>
      </c>
      <c r="K14" s="15" t="n">
        <f aca="false">Model!K101</f>
        <v>159.466378291869</v>
      </c>
    </row>
    <row r="15" customFormat="false" ht="15" hidden="false" customHeight="false" outlineLevel="0" collapsed="false">
      <c r="B15" s="0" t="s">
        <v>98</v>
      </c>
      <c r="C15" s="15" t="n">
        <f aca="false">Model!C33</f>
        <v>48.304</v>
      </c>
      <c r="D15" s="15" t="n">
        <f aca="false">Model!D33</f>
        <v>61.555</v>
      </c>
      <c r="E15" s="15" t="n">
        <f aca="false">Model!E33</f>
        <v>65.171</v>
      </c>
      <c r="F15" s="15" t="n">
        <f aca="false">Model!F33</f>
        <v>54.697</v>
      </c>
      <c r="G15" s="15" t="n">
        <f aca="false">Model!G33</f>
        <v>59.697</v>
      </c>
      <c r="H15" s="15" t="n">
        <f aca="false">Model!H33</f>
        <v>64.697</v>
      </c>
      <c r="I15" s="15" t="n">
        <f aca="false">Model!I33</f>
        <v>69.697</v>
      </c>
      <c r="J15" s="15" t="n">
        <f aca="false">Model!J33</f>
        <v>71.697</v>
      </c>
      <c r="K15" s="15" t="n">
        <f aca="false">Model!K33</f>
        <v>73.697</v>
      </c>
    </row>
    <row r="16" customFormat="false" ht="15" hidden="false" customHeight="false" outlineLevel="0" collapsed="false">
      <c r="B16" s="0" t="s">
        <v>99</v>
      </c>
      <c r="C16" s="15" t="n">
        <f aca="false">Model!C45+Model!C48+Model!C46</f>
        <v>120.069</v>
      </c>
      <c r="D16" s="15" t="n">
        <f aca="false">Model!D45+Model!D48+Model!D46</f>
        <v>111.088</v>
      </c>
      <c r="E16" s="15" t="n">
        <f aca="false">Model!E45+Model!E48+Model!E46</f>
        <v>106.629</v>
      </c>
      <c r="F16" s="15" t="n">
        <f aca="false">Model!F45+Model!F48+Model!F46</f>
        <v>98.657</v>
      </c>
      <c r="G16" s="15" t="n">
        <f aca="false">Model!G45+Model!G48+Model!G46</f>
        <v>93.657</v>
      </c>
      <c r="H16" s="15" t="n">
        <f aca="false">Model!H45+Model!H48+Model!H46</f>
        <v>88.657</v>
      </c>
      <c r="I16" s="15" t="n">
        <f aca="false">Model!I45+Model!I48+Model!I46</f>
        <v>83.657</v>
      </c>
      <c r="J16" s="15" t="n">
        <f aca="false">Model!J45+Model!J48+Model!J46</f>
        <v>80.657</v>
      </c>
      <c r="K16" s="15" t="n">
        <f aca="false">Model!K45+Model!K48+Model!K46</f>
        <v>77.657</v>
      </c>
    </row>
    <row r="17" customFormat="false" ht="15" hidden="false" customHeight="false" outlineLevel="0" collapsed="false">
      <c r="B17" s="0" t="s">
        <v>100</v>
      </c>
      <c r="C17" s="15" t="n">
        <f aca="false">Model!C99</f>
        <v>-49.04</v>
      </c>
      <c r="D17" s="15" t="n">
        <f aca="false">Model!D99</f>
        <v>-51.011</v>
      </c>
      <c r="E17" s="15" t="n">
        <f aca="false">Model!E99</f>
        <v>-50.021</v>
      </c>
      <c r="F17" s="15" t="n">
        <f aca="false">Model!F99</f>
        <v>-33.763</v>
      </c>
      <c r="G17" s="15" t="n">
        <f aca="false">Model!G99</f>
        <v>-33.763</v>
      </c>
      <c r="H17" s="15" t="n">
        <f aca="false">Model!H99</f>
        <v>-33.763</v>
      </c>
      <c r="I17" s="15" t="n">
        <f aca="false">Model!I99</f>
        <v>-33.763</v>
      </c>
      <c r="J17" s="15" t="n">
        <f aca="false">Model!J99</f>
        <v>-33.763</v>
      </c>
      <c r="K17" s="15" t="n">
        <f aca="false">Model!K99</f>
        <v>-33.763</v>
      </c>
    </row>
    <row r="18" customFormat="false" ht="15" hidden="false" customHeight="false" outlineLevel="0" collapsed="false">
      <c r="B18" s="0" t="s">
        <v>101</v>
      </c>
      <c r="C18" s="18" t="n">
        <f aca="false">Model!C27</f>
        <v>15.943</v>
      </c>
      <c r="D18" s="18" t="n">
        <f aca="false">Model!D27</f>
        <v>15.55</v>
      </c>
      <c r="E18" s="18" t="n">
        <f aca="false">Model!E27</f>
        <v>15.117</v>
      </c>
      <c r="F18" s="18" t="n">
        <f aca="false">Model!F27</f>
        <v>14.773</v>
      </c>
      <c r="G18" s="18" t="n">
        <f aca="false">Model!G27</f>
        <v>14.3733267369303</v>
      </c>
      <c r="H18" s="18" t="n">
        <f aca="false">Model!H27</f>
        <v>13.9723832795074</v>
      </c>
      <c r="I18" s="18" t="n">
        <f aca="false">Model!I27</f>
        <v>13.5714126508305</v>
      </c>
      <c r="J18" s="18" t="n">
        <f aca="false">Model!J27</f>
        <v>13.1759002239364</v>
      </c>
      <c r="K18" s="18" t="n">
        <f aca="false">Model!K27</f>
        <v>12.7867311828156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" t="s">
        <v>102</v>
      </c>
    </row>
    <row r="3" customFormat="false" ht="27.75" hidden="false" customHeight="true" outlineLevel="0" collapsed="false">
      <c r="B3" s="7" t="s">
        <v>103</v>
      </c>
      <c r="C3" s="7"/>
      <c r="D3" s="7"/>
      <c r="E3" s="7"/>
      <c r="F3" s="7"/>
      <c r="G3" s="7"/>
      <c r="H3" s="7"/>
    </row>
    <row r="5" customFormat="false" ht="15" hidden="false" customHeight="false" outlineLevel="0" collapsed="false">
      <c r="C5" s="11" t="s">
        <v>104</v>
      </c>
      <c r="D5" s="11" t="s">
        <v>105</v>
      </c>
      <c r="E5" s="11" t="s">
        <v>106</v>
      </c>
      <c r="F5" s="11" t="s">
        <v>107</v>
      </c>
    </row>
    <row r="6" customFormat="false" ht="15" hidden="false" customHeight="false" outlineLevel="0" collapsed="false">
      <c r="B6" s="8" t="s">
        <v>108</v>
      </c>
      <c r="C6" s="19"/>
      <c r="D6" s="19"/>
      <c r="E6" s="19"/>
      <c r="F6" s="19"/>
    </row>
    <row r="7" customFormat="false" ht="15" hidden="false" customHeight="false" outlineLevel="0" collapsed="false">
      <c r="B7" s="20" t="s">
        <v>90</v>
      </c>
      <c r="C7" s="10" t="n">
        <v>394.328</v>
      </c>
      <c r="D7" s="10" t="n">
        <v>383.285</v>
      </c>
      <c r="E7" s="10" t="n">
        <v>391.035</v>
      </c>
      <c r="F7" s="10" t="n">
        <v>416.161</v>
      </c>
    </row>
    <row r="8" customFormat="false" ht="15" hidden="false" customHeight="false" outlineLevel="0" collapsed="false">
      <c r="B8" s="20" t="s">
        <v>109</v>
      </c>
      <c r="C8" s="10" t="n">
        <v>223.546</v>
      </c>
      <c r="D8" s="10" t="n">
        <v>214.137</v>
      </c>
      <c r="E8" s="10" t="n">
        <v>210.352</v>
      </c>
      <c r="F8" s="10" t="n">
        <v>220.96</v>
      </c>
    </row>
    <row r="9" customFormat="false" ht="15" hidden="false" customHeight="false" outlineLevel="0" collapsed="false">
      <c r="B9" s="3" t="s">
        <v>110</v>
      </c>
      <c r="C9" s="21" t="n">
        <f aca="false">C7-C8</f>
        <v>170.782</v>
      </c>
      <c r="D9" s="21" t="n">
        <f aca="false">D7-D8</f>
        <v>169.148</v>
      </c>
      <c r="E9" s="21" t="n">
        <f aca="false">E7-E8</f>
        <v>180.683</v>
      </c>
      <c r="F9" s="21" t="n">
        <f aca="false">F7-F8</f>
        <v>195.201</v>
      </c>
    </row>
    <row r="10" customFormat="false" ht="15" hidden="false" customHeight="false" outlineLevel="0" collapsed="false">
      <c r="B10" s="20" t="s">
        <v>111</v>
      </c>
      <c r="C10" s="10" t="n">
        <v>26.251</v>
      </c>
      <c r="D10" s="10" t="n">
        <v>29.915</v>
      </c>
      <c r="E10" s="10" t="n">
        <v>31.37</v>
      </c>
      <c r="F10" s="10" t="n">
        <v>34.55</v>
      </c>
    </row>
    <row r="11" customFormat="false" ht="15" hidden="false" customHeight="false" outlineLevel="0" collapsed="false">
      <c r="B11" s="20" t="s">
        <v>112</v>
      </c>
      <c r="C11" s="10" t="n">
        <v>25.094</v>
      </c>
      <c r="D11" s="10" t="n">
        <v>24.932</v>
      </c>
      <c r="E11" s="10" t="n">
        <v>26.097</v>
      </c>
      <c r="F11" s="10" t="n">
        <v>27.601</v>
      </c>
    </row>
    <row r="12" customFormat="false" ht="15" hidden="false" customHeight="false" outlineLevel="0" collapsed="false">
      <c r="B12" s="3" t="s">
        <v>113</v>
      </c>
      <c r="C12" s="21" t="n">
        <f aca="false">C9-C10-C11</f>
        <v>119.437</v>
      </c>
      <c r="D12" s="21" t="n">
        <f aca="false">D9-D10-D11</f>
        <v>114.301</v>
      </c>
      <c r="E12" s="21" t="n">
        <f aca="false">E9-E10-E11</f>
        <v>123.216</v>
      </c>
      <c r="F12" s="21" t="n">
        <f aca="false">F9-F10-F11</f>
        <v>133.05</v>
      </c>
    </row>
    <row r="13" customFormat="false" ht="15" hidden="false" customHeight="false" outlineLevel="0" collapsed="false">
      <c r="B13" s="20" t="s">
        <v>114</v>
      </c>
      <c r="C13" s="10" t="n">
        <v>-0.334</v>
      </c>
      <c r="D13" s="10" t="n">
        <v>-0.565</v>
      </c>
      <c r="E13" s="10" t="n">
        <v>0.269</v>
      </c>
      <c r="F13" s="10" t="n">
        <v>-0.321</v>
      </c>
    </row>
    <row r="14" customFormat="false" ht="15" hidden="false" customHeight="false" outlineLevel="0" collapsed="false">
      <c r="B14" s="3" t="s">
        <v>115</v>
      </c>
      <c r="C14" s="21" t="n">
        <f aca="false">C12+C13</f>
        <v>119.103</v>
      </c>
      <c r="D14" s="21" t="n">
        <f aca="false">D12+D13</f>
        <v>113.736</v>
      </c>
      <c r="E14" s="21" t="n">
        <f aca="false">E12+E13</f>
        <v>123.485</v>
      </c>
      <c r="F14" s="21" t="n">
        <f aca="false">F12+F13</f>
        <v>132.729</v>
      </c>
    </row>
    <row r="15" customFormat="false" ht="15" hidden="false" customHeight="false" outlineLevel="0" collapsed="false">
      <c r="B15" s="20" t="s">
        <v>116</v>
      </c>
      <c r="C15" s="10" t="n">
        <v>19.3</v>
      </c>
      <c r="D15" s="10" t="n">
        <v>16.741</v>
      </c>
      <c r="E15" s="10" t="n">
        <v>29.749</v>
      </c>
      <c r="F15" s="10" t="n">
        <v>20.719</v>
      </c>
    </row>
    <row r="16" customFormat="false" ht="15" hidden="false" customHeight="false" outlineLevel="0" collapsed="false">
      <c r="B16" s="3" t="s">
        <v>94</v>
      </c>
      <c r="C16" s="21" t="n">
        <f aca="false">C14-C15</f>
        <v>99.803</v>
      </c>
      <c r="D16" s="21" t="n">
        <f aca="false">D14-D15</f>
        <v>96.995</v>
      </c>
      <c r="E16" s="21" t="n">
        <f aca="false">E14-E15</f>
        <v>93.736</v>
      </c>
      <c r="F16" s="21" t="n">
        <f aca="false">F14-F15</f>
        <v>112.01</v>
      </c>
    </row>
    <row r="17" customFormat="false" ht="15" hidden="false" customHeight="false" outlineLevel="0" collapsed="false">
      <c r="B17" s="20" t="s">
        <v>117</v>
      </c>
      <c r="C17" s="10" t="n">
        <v>99.803</v>
      </c>
      <c r="D17" s="10" t="n">
        <v>96.995</v>
      </c>
      <c r="E17" s="10" t="n">
        <v>93.736</v>
      </c>
      <c r="F17" s="10" t="n">
        <v>112.01</v>
      </c>
    </row>
    <row r="18" customFormat="false" ht="15" hidden="false" customHeight="false" outlineLevel="0" collapsed="false">
      <c r="B18" s="20" t="s">
        <v>118</v>
      </c>
      <c r="C18" s="22" t="n">
        <v>16.326</v>
      </c>
      <c r="D18" s="22" t="n">
        <v>15.813</v>
      </c>
      <c r="E18" s="22" t="n">
        <v>15.408</v>
      </c>
      <c r="F18" s="22" t="n">
        <v>15.005</v>
      </c>
    </row>
    <row r="19" customFormat="false" ht="15" hidden="false" customHeight="false" outlineLevel="0" collapsed="false">
      <c r="B19" s="20" t="s">
        <v>95</v>
      </c>
      <c r="C19" s="23" t="n">
        <f aca="false">C17/C18</f>
        <v>6.11313242680387</v>
      </c>
      <c r="D19" s="23" t="n">
        <f aca="false">D17/D18</f>
        <v>6.13387718965408</v>
      </c>
      <c r="E19" s="23" t="n">
        <f aca="false">E17/E18</f>
        <v>6.08359293873313</v>
      </c>
      <c r="F19" s="23" t="n">
        <f aca="false">F17/F18</f>
        <v>7.46484505164945</v>
      </c>
    </row>
    <row r="21" customFormat="false" ht="15" hidden="false" customHeight="false" outlineLevel="0" collapsed="false">
      <c r="B21" s="8" t="s">
        <v>119</v>
      </c>
      <c r="C21" s="19"/>
      <c r="D21" s="19"/>
      <c r="E21" s="19"/>
      <c r="F21" s="19"/>
    </row>
    <row r="22" customFormat="false" ht="15" hidden="false" customHeight="false" outlineLevel="0" collapsed="false">
      <c r="B22" s="20" t="s">
        <v>120</v>
      </c>
      <c r="C22" s="10" t="n">
        <v>48.304</v>
      </c>
      <c r="D22" s="10" t="n">
        <v>61.555</v>
      </c>
      <c r="E22" s="10" t="n">
        <v>65.171</v>
      </c>
      <c r="F22" s="10" t="n">
        <v>54.697</v>
      </c>
    </row>
    <row r="23" customFormat="false" ht="15" hidden="false" customHeight="false" outlineLevel="0" collapsed="false">
      <c r="B23" s="20" t="s">
        <v>121</v>
      </c>
      <c r="C23" s="10" t="n">
        <v>60.932</v>
      </c>
      <c r="D23" s="10" t="n">
        <v>60.985</v>
      </c>
      <c r="E23" s="10" t="n">
        <v>66.243</v>
      </c>
      <c r="F23" s="10" t="n">
        <v>72.957</v>
      </c>
    </row>
    <row r="24" customFormat="false" ht="15" hidden="false" customHeight="false" outlineLevel="0" collapsed="false">
      <c r="B24" s="20" t="s">
        <v>122</v>
      </c>
      <c r="C24" s="10" t="n">
        <v>4.946</v>
      </c>
      <c r="D24" s="10" t="n">
        <v>6.331</v>
      </c>
      <c r="E24" s="10" t="n">
        <v>7.286</v>
      </c>
      <c r="F24" s="10" t="n">
        <v>5.718</v>
      </c>
    </row>
    <row r="25" customFormat="false" ht="15" hidden="false" customHeight="false" outlineLevel="0" collapsed="false">
      <c r="B25" s="20" t="s">
        <v>123</v>
      </c>
      <c r="C25" s="10" t="n">
        <v>21.223</v>
      </c>
      <c r="D25" s="10" t="n">
        <v>14.695</v>
      </c>
      <c r="E25" s="10" t="n">
        <v>14.287</v>
      </c>
      <c r="F25" s="10" t="n">
        <v>14.585</v>
      </c>
    </row>
    <row r="26" customFormat="false" ht="15" hidden="false" customHeight="false" outlineLevel="0" collapsed="false">
      <c r="B26" s="3" t="s">
        <v>124</v>
      </c>
      <c r="C26" s="21" t="n">
        <f aca="false">SUM(C22:C25)</f>
        <v>135.405</v>
      </c>
      <c r="D26" s="21" t="n">
        <f aca="false">SUM(D22:D25)</f>
        <v>143.566</v>
      </c>
      <c r="E26" s="21" t="n">
        <f aca="false">SUM(E22:E25)</f>
        <v>152.987</v>
      </c>
      <c r="F26" s="21" t="n">
        <f aca="false">SUM(F22:F25)</f>
        <v>147.957</v>
      </c>
    </row>
    <row r="27" customFormat="false" ht="15" hidden="false" customHeight="false" outlineLevel="0" collapsed="false">
      <c r="B27" s="20" t="s">
        <v>125</v>
      </c>
      <c r="C27" s="10" t="n">
        <v>120.805</v>
      </c>
      <c r="D27" s="10" t="n">
        <v>100.544</v>
      </c>
      <c r="E27" s="10" t="n">
        <v>91.479</v>
      </c>
      <c r="F27" s="10" t="n">
        <v>77.723</v>
      </c>
    </row>
    <row r="28" customFormat="false" ht="15" hidden="false" customHeight="false" outlineLevel="0" collapsed="false">
      <c r="B28" s="20" t="s">
        <v>126</v>
      </c>
      <c r="C28" s="10" t="n">
        <v>42.117</v>
      </c>
      <c r="D28" s="10" t="n">
        <v>43.715</v>
      </c>
      <c r="E28" s="10" t="n">
        <v>45.68</v>
      </c>
      <c r="F28" s="10" t="n">
        <v>49.834</v>
      </c>
    </row>
    <row r="29" customFormat="false" ht="15" hidden="false" customHeight="false" outlineLevel="0" collapsed="false">
      <c r="B29" s="20" t="s">
        <v>127</v>
      </c>
      <c r="C29" s="10" t="n">
        <v>54.428</v>
      </c>
      <c r="D29" s="10" t="n">
        <v>64.758</v>
      </c>
      <c r="E29" s="10" t="n">
        <v>74.834</v>
      </c>
      <c r="F29" s="10" t="n">
        <v>83.727</v>
      </c>
    </row>
    <row r="30" customFormat="false" ht="15" hidden="false" customHeight="false" outlineLevel="0" collapsed="false">
      <c r="B30" s="3" t="s">
        <v>128</v>
      </c>
      <c r="C30" s="21" t="n">
        <f aca="false">C26+C27+C28+C29</f>
        <v>352.755</v>
      </c>
      <c r="D30" s="21" t="n">
        <f aca="false">D26+D27+D28+D29</f>
        <v>352.583</v>
      </c>
      <c r="E30" s="21" t="n">
        <f aca="false">E26+E27+E28+E29</f>
        <v>364.98</v>
      </c>
      <c r="F30" s="21" t="n">
        <f aca="false">F26+F27+F28+F29</f>
        <v>359.241</v>
      </c>
    </row>
    <row r="32" customFormat="false" ht="15" hidden="false" customHeight="false" outlineLevel="0" collapsed="false">
      <c r="B32" s="20" t="s">
        <v>129</v>
      </c>
      <c r="C32" s="10" t="n">
        <v>64.115</v>
      </c>
      <c r="D32" s="10" t="n">
        <v>62.611</v>
      </c>
      <c r="E32" s="10" t="n">
        <v>68.96</v>
      </c>
      <c r="F32" s="10" t="n">
        <v>69.86</v>
      </c>
    </row>
    <row r="33" customFormat="false" ht="15" hidden="false" customHeight="false" outlineLevel="0" collapsed="false">
      <c r="B33" s="20" t="s">
        <v>130</v>
      </c>
      <c r="C33" s="10" t="n">
        <v>68.757</v>
      </c>
      <c r="D33" s="10" t="n">
        <v>66.89</v>
      </c>
      <c r="E33" s="10" t="n">
        <v>86.553</v>
      </c>
      <c r="F33" s="10" t="n">
        <v>75.442</v>
      </c>
    </row>
    <row r="34" customFormat="false" ht="15" hidden="false" customHeight="false" outlineLevel="0" collapsed="false">
      <c r="B34" s="20" t="s">
        <v>131</v>
      </c>
      <c r="C34" s="10" t="n">
        <v>21.11</v>
      </c>
      <c r="D34" s="10" t="n">
        <v>15.807</v>
      </c>
      <c r="E34" s="10" t="n">
        <v>20.879</v>
      </c>
      <c r="F34" s="10" t="n">
        <v>20.329</v>
      </c>
    </row>
    <row r="35" customFormat="false" ht="15" hidden="false" customHeight="false" outlineLevel="0" collapsed="false">
      <c r="B35" s="3" t="s">
        <v>132</v>
      </c>
      <c r="C35" s="21" t="n">
        <f aca="false">SUM(C32:C34)</f>
        <v>153.982</v>
      </c>
      <c r="D35" s="21" t="n">
        <f aca="false">SUM(D32:D34)</f>
        <v>145.308</v>
      </c>
      <c r="E35" s="21" t="n">
        <f aca="false">SUM(E32:E34)</f>
        <v>176.392</v>
      </c>
      <c r="F35" s="21" t="n">
        <f aca="false">SUM(F32:F34)</f>
        <v>165.631</v>
      </c>
    </row>
    <row r="36" customFormat="false" ht="15" hidden="false" customHeight="false" outlineLevel="0" collapsed="false">
      <c r="B36" s="20" t="s">
        <v>133</v>
      </c>
      <c r="C36" s="10" t="n">
        <v>98.959</v>
      </c>
      <c r="D36" s="10" t="n">
        <v>95.281</v>
      </c>
      <c r="E36" s="10" t="n">
        <v>85.75</v>
      </c>
      <c r="F36" s="10" t="n">
        <v>78.328</v>
      </c>
    </row>
    <row r="37" customFormat="false" ht="15" hidden="false" customHeight="false" outlineLevel="0" collapsed="false">
      <c r="B37" s="20" t="s">
        <v>134</v>
      </c>
      <c r="C37" s="10" t="n">
        <v>49.142</v>
      </c>
      <c r="D37" s="10" t="n">
        <v>49.848</v>
      </c>
      <c r="E37" s="10" t="n">
        <v>45.888</v>
      </c>
      <c r="F37" s="10" t="n">
        <v>41.549</v>
      </c>
    </row>
    <row r="38" customFormat="false" ht="15" hidden="false" customHeight="false" outlineLevel="0" collapsed="false">
      <c r="B38" s="3" t="s">
        <v>135</v>
      </c>
      <c r="C38" s="21" t="n">
        <f aca="false">C35+C36+C37</f>
        <v>302.083</v>
      </c>
      <c r="D38" s="21" t="n">
        <f aca="false">D35+D36+D37</f>
        <v>290.437</v>
      </c>
      <c r="E38" s="21" t="n">
        <f aca="false">E35+E36+E37</f>
        <v>308.03</v>
      </c>
      <c r="F38" s="21" t="n">
        <f aca="false">F35+F36+F37</f>
        <v>285.508</v>
      </c>
    </row>
    <row r="39" customFormat="false" ht="15" hidden="false" customHeight="false" outlineLevel="0" collapsed="false">
      <c r="B39" s="20" t="s">
        <v>136</v>
      </c>
      <c r="C39" s="10" t="n">
        <v>64.849</v>
      </c>
      <c r="D39" s="10" t="n">
        <v>73.812</v>
      </c>
      <c r="E39" s="10" t="n">
        <v>83.276</v>
      </c>
      <c r="F39" s="10" t="n">
        <v>93.568</v>
      </c>
    </row>
    <row r="40" customFormat="false" ht="15" hidden="false" customHeight="false" outlineLevel="0" collapsed="false">
      <c r="B40" s="20" t="s">
        <v>137</v>
      </c>
      <c r="C40" s="10" t="n">
        <v>-3.068</v>
      </c>
      <c r="D40" s="10" t="n">
        <v>-0.214</v>
      </c>
      <c r="E40" s="10" t="n">
        <v>-19.154</v>
      </c>
      <c r="F40" s="10" t="n">
        <v>-14.264</v>
      </c>
    </row>
    <row r="41" customFormat="false" ht="15" hidden="false" customHeight="false" outlineLevel="0" collapsed="false">
      <c r="B41" s="20" t="s">
        <v>138</v>
      </c>
      <c r="C41" s="10" t="n">
        <v>-11.109</v>
      </c>
      <c r="D41" s="10" t="n">
        <v>-11.452</v>
      </c>
      <c r="E41" s="10" t="n">
        <v>-7.172</v>
      </c>
      <c r="F41" s="10" t="n">
        <v>-5.571</v>
      </c>
    </row>
    <row r="42" customFormat="false" ht="15" hidden="false" customHeight="false" outlineLevel="0" collapsed="false">
      <c r="B42" s="3" t="s">
        <v>139</v>
      </c>
      <c r="C42" s="21" t="n">
        <f aca="false">C39+C40+C41</f>
        <v>50.672</v>
      </c>
      <c r="D42" s="21" t="n">
        <f aca="false">D39+D40+D41</f>
        <v>62.146</v>
      </c>
      <c r="E42" s="21" t="n">
        <f aca="false">E39+E40+E41</f>
        <v>56.95</v>
      </c>
      <c r="F42" s="21" t="n">
        <f aca="false">F39+F40+F41</f>
        <v>73.733</v>
      </c>
    </row>
    <row r="43" customFormat="false" ht="15" hidden="false" customHeight="false" outlineLevel="0" collapsed="false">
      <c r="B43" s="3" t="s">
        <v>140</v>
      </c>
      <c r="C43" s="21" t="n">
        <f aca="false">C38+C42</f>
        <v>352.755</v>
      </c>
      <c r="D43" s="21" t="n">
        <f aca="false">D38+D42</f>
        <v>352.583</v>
      </c>
      <c r="E43" s="21" t="n">
        <f aca="false">E38+E42</f>
        <v>364.98</v>
      </c>
      <c r="F43" s="21" t="n">
        <f aca="false">F38+F42</f>
        <v>359.241</v>
      </c>
    </row>
    <row r="44" customFormat="false" ht="15" hidden="false" customHeight="false" outlineLevel="0" collapsed="false">
      <c r="B44" s="20" t="s">
        <v>141</v>
      </c>
      <c r="C44" s="24" t="n">
        <f aca="false">ROUND(C30-C43,2)</f>
        <v>0</v>
      </c>
      <c r="D44" s="24" t="n">
        <f aca="false">ROUND(D30-D43,2)</f>
        <v>0</v>
      </c>
      <c r="E44" s="24" t="n">
        <f aca="false">ROUND(E30-E43,2)</f>
        <v>0</v>
      </c>
      <c r="F44" s="24" t="n">
        <f aca="false">ROUND(F30-F43,2)</f>
        <v>0</v>
      </c>
    </row>
    <row r="46" customFormat="false" ht="15" hidden="false" customHeight="false" outlineLevel="0" collapsed="false">
      <c r="B46" s="8" t="s">
        <v>142</v>
      </c>
      <c r="C46" s="19"/>
      <c r="D46" s="19"/>
      <c r="E46" s="19"/>
      <c r="F46" s="19"/>
    </row>
    <row r="47" customFormat="false" ht="15" hidden="false" customHeight="false" outlineLevel="0" collapsed="false">
      <c r="B47" s="20" t="s">
        <v>143</v>
      </c>
      <c r="C47" s="10" t="n">
        <v>11.104</v>
      </c>
      <c r="D47" s="10" t="n">
        <v>11.519</v>
      </c>
      <c r="E47" s="10" t="n">
        <v>11.445</v>
      </c>
      <c r="F47" s="10" t="n">
        <v>11.698</v>
      </c>
    </row>
    <row r="48" customFormat="false" ht="15" hidden="false" customHeight="false" outlineLevel="0" collapsed="false">
      <c r="B48" s="20" t="s">
        <v>144</v>
      </c>
      <c r="C48" s="10" t="n">
        <v>9.038</v>
      </c>
      <c r="D48" s="10" t="n">
        <v>10.833</v>
      </c>
      <c r="E48" s="10" t="n">
        <v>11.688</v>
      </c>
      <c r="F48" s="10" t="n">
        <v>12.863</v>
      </c>
    </row>
    <row r="49" customFormat="false" ht="15" hidden="false" customHeight="false" outlineLevel="0" collapsed="false">
      <c r="B49" s="20" t="s">
        <v>145</v>
      </c>
      <c r="C49" s="10" t="n">
        <v>10.708</v>
      </c>
      <c r="D49" s="10" t="n">
        <v>10.959</v>
      </c>
      <c r="E49" s="10" t="n">
        <v>9.447</v>
      </c>
      <c r="F49" s="10" t="n">
        <v>12.715</v>
      </c>
    </row>
    <row r="50" customFormat="false" ht="15" hidden="false" customHeight="false" outlineLevel="0" collapsed="false">
      <c r="B50" s="20" t="s">
        <v>146</v>
      </c>
      <c r="C50" s="10" t="n">
        <v>14.841</v>
      </c>
      <c r="D50" s="10" t="n">
        <v>15.025</v>
      </c>
      <c r="E50" s="10" t="n">
        <v>15.234</v>
      </c>
      <c r="F50" s="10" t="n">
        <v>15.421</v>
      </c>
    </row>
    <row r="51" customFormat="false" ht="15" hidden="false" customHeight="false" outlineLevel="0" collapsed="false">
      <c r="B51" s="20" t="s">
        <v>147</v>
      </c>
      <c r="C51" s="10" t="n">
        <v>89.402</v>
      </c>
      <c r="D51" s="10" t="n">
        <v>77.55</v>
      </c>
      <c r="E51" s="10" t="n">
        <v>94.949</v>
      </c>
      <c r="F51" s="10" t="n">
        <v>90.711</v>
      </c>
    </row>
    <row r="52" customFormat="false" ht="15" hidden="false" customHeight="false" outlineLevel="0" collapsed="false">
      <c r="B52" s="20" t="s">
        <v>148</v>
      </c>
      <c r="C52" s="10" t="n">
        <v>5.465</v>
      </c>
      <c r="D52" s="10" t="n">
        <v>5.228</v>
      </c>
      <c r="E52" s="10" t="n">
        <v>0</v>
      </c>
      <c r="F52" s="10" t="n">
        <v>4.481</v>
      </c>
    </row>
    <row r="53" customFormat="false" ht="15" hidden="false" customHeight="false" outlineLevel="0" collapsed="false">
      <c r="B53" s="20" t="s">
        <v>149</v>
      </c>
      <c r="C53" s="10" t="n">
        <v>9.543</v>
      </c>
      <c r="D53" s="10" t="n">
        <v>11.151</v>
      </c>
      <c r="E53" s="10" t="n">
        <v>9.958</v>
      </c>
      <c r="F53" s="10" t="n">
        <v>10.932</v>
      </c>
    </row>
    <row r="54" customFormat="false" ht="15" hidden="false" customHeight="false" outlineLevel="0" collapsed="false">
      <c r="B54" s="20" t="s">
        <v>150</v>
      </c>
      <c r="C54" s="10" t="n">
        <v>122.151</v>
      </c>
      <c r="D54" s="10" t="n">
        <v>110.543</v>
      </c>
      <c r="E54" s="10" t="n">
        <v>118.254</v>
      </c>
      <c r="F54" s="10" t="n">
        <v>111.482</v>
      </c>
    </row>
    <row r="55" customFormat="false" ht="15" hidden="false" customHeight="false" outlineLevel="0" collapsed="false">
      <c r="B55" s="20" t="s">
        <v>151</v>
      </c>
      <c r="C55" s="10" t="n">
        <v>-22.354</v>
      </c>
      <c r="D55" s="10" t="n">
        <v>3.705</v>
      </c>
      <c r="E55" s="10" t="n">
        <v>2.935</v>
      </c>
      <c r="F55" s="10" t="n">
        <v>15.195</v>
      </c>
    </row>
    <row r="56" customFormat="false" ht="15" hidden="false" customHeight="false" outlineLevel="0" collapsed="false">
      <c r="B56" s="20" t="s">
        <v>152</v>
      </c>
      <c r="C56" s="10" t="n">
        <v>-110.749</v>
      </c>
      <c r="D56" s="10" t="n">
        <v>-108.488</v>
      </c>
      <c r="E56" s="10" t="n">
        <v>-121.983</v>
      </c>
      <c r="F56" s="10" t="n">
        <v>-120.686</v>
      </c>
    </row>
    <row r="57" customFormat="false" ht="15" hidden="false" customHeight="false" outlineLevel="0" collapsed="false">
      <c r="B57" s="20" t="s">
        <v>153</v>
      </c>
      <c r="C57" s="22" t="n">
        <v>15.943</v>
      </c>
      <c r="D57" s="22" t="n">
        <v>15.55</v>
      </c>
      <c r="E57" s="22" t="n">
        <v>15.117</v>
      </c>
      <c r="F57" s="22" t="n">
        <v>14.773</v>
      </c>
    </row>
    <row r="59" customFormat="false" ht="15" hidden="false" customHeight="false" outlineLevel="0" collapsed="false">
      <c r="B59" s="8" t="s">
        <v>154</v>
      </c>
      <c r="C59" s="19"/>
      <c r="D59" s="19"/>
      <c r="E59" s="19"/>
      <c r="F59" s="19"/>
    </row>
    <row r="60" customFormat="false" ht="15" hidden="false" customHeight="false" outlineLevel="0" collapsed="false">
      <c r="B60" s="20" t="s">
        <v>41</v>
      </c>
      <c r="C60" s="25" t="str">
        <f aca="true">IF(COLUMN(C1)=3,"",C7/OFFSET(C7,0,-1)-1)</f>
        <v/>
      </c>
      <c r="D60" s="25" t="n">
        <f aca="true">IF(COLUMN(D1)=3,"",D7/OFFSET(D7,0,-1)-1)</f>
        <v>-0.0280046053031993</v>
      </c>
      <c r="E60" s="25" t="n">
        <f aca="true">IF(COLUMN(E1)=3,"",E7/OFFSET(E7,0,-1)-1)</f>
        <v>0.0202199407751411</v>
      </c>
      <c r="F60" s="25" t="n">
        <f aca="true">IF(COLUMN(F1)=3,"",F7/OFFSET(F7,0,-1)-1)</f>
        <v>0.0642551178283273</v>
      </c>
    </row>
    <row r="61" customFormat="false" ht="15" hidden="false" customHeight="false" outlineLevel="0" collapsed="false">
      <c r="B61" s="20" t="s">
        <v>47</v>
      </c>
      <c r="C61" s="25" t="n">
        <f aca="false">C9/C7</f>
        <v>0.433096305613601</v>
      </c>
      <c r="D61" s="25" t="n">
        <f aca="false">D9/D7</f>
        <v>0.441311295772076</v>
      </c>
      <c r="E61" s="25" t="n">
        <f aca="false">E9/E7</f>
        <v>0.462063498152339</v>
      </c>
      <c r="F61" s="25" t="n">
        <f aca="false">F9/F7</f>
        <v>0.469051641071604</v>
      </c>
    </row>
    <row r="62" customFormat="false" ht="15" hidden="false" customHeight="false" outlineLevel="0" collapsed="false">
      <c r="B62" s="20" t="s">
        <v>155</v>
      </c>
      <c r="C62" s="25" t="n">
        <f aca="false">C10/C7</f>
        <v>0.0665714836379867</v>
      </c>
      <c r="D62" s="25" t="n">
        <f aca="false">D10/D7</f>
        <v>0.0780489713920451</v>
      </c>
      <c r="E62" s="25" t="n">
        <f aca="false">E10/E7</f>
        <v>0.0802229979413607</v>
      </c>
      <c r="F62" s="25" t="n">
        <f aca="false">F10/F7</f>
        <v>0.0830207539870387</v>
      </c>
    </row>
    <row r="63" customFormat="false" ht="15" hidden="false" customHeight="false" outlineLevel="0" collapsed="false">
      <c r="B63" s="20" t="s">
        <v>156</v>
      </c>
      <c r="C63" s="25" t="n">
        <f aca="false">C11/C7</f>
        <v>0.0636373780203283</v>
      </c>
      <c r="D63" s="25" t="n">
        <f aca="false">D11/D7</f>
        <v>0.0650482017297833</v>
      </c>
      <c r="E63" s="25" t="n">
        <f aca="false">E11/E7</f>
        <v>0.0667382715102229</v>
      </c>
      <c r="F63" s="25" t="n">
        <f aca="false">F11/F7</f>
        <v>0.066322889458647</v>
      </c>
    </row>
    <row r="64" customFormat="false" ht="15" hidden="false" customHeight="false" outlineLevel="0" collapsed="false">
      <c r="B64" s="20" t="s">
        <v>157</v>
      </c>
      <c r="C64" s="25" t="n">
        <f aca="false">C12/C7</f>
        <v>0.302887443955286</v>
      </c>
      <c r="D64" s="25" t="n">
        <f aca="false">D12/D7</f>
        <v>0.298214122650247</v>
      </c>
      <c r="E64" s="25" t="n">
        <f aca="false">E12/E7</f>
        <v>0.315102228700756</v>
      </c>
      <c r="F64" s="25" t="n">
        <f aca="false">F12/F7</f>
        <v>0.319707997625919</v>
      </c>
    </row>
    <row r="65" customFormat="false" ht="15" hidden="false" customHeight="false" outlineLevel="0" collapsed="false">
      <c r="B65" s="20" t="s">
        <v>53</v>
      </c>
      <c r="C65" s="25" t="n">
        <f aca="false">C15/C14</f>
        <v>0.162044616844244</v>
      </c>
      <c r="D65" s="25" t="n">
        <f aca="false">D15/D14</f>
        <v>0.147191742280369</v>
      </c>
      <c r="E65" s="25" t="n">
        <f aca="false">E15/E14</f>
        <v>0.2409118516419</v>
      </c>
      <c r="F65" s="25" t="n">
        <f aca="false">F15/F14</f>
        <v>0.15610002335586</v>
      </c>
    </row>
    <row r="66" customFormat="false" ht="15" hidden="false" customHeight="false" outlineLevel="0" collapsed="false">
      <c r="B66" s="20" t="s">
        <v>158</v>
      </c>
      <c r="C66" s="25" t="n">
        <f aca="false">C47/C7</f>
        <v>0.0281592988578037</v>
      </c>
      <c r="D66" s="25" t="n">
        <f aca="false">D47/D7</f>
        <v>0.0300533545534002</v>
      </c>
      <c r="E66" s="25" t="n">
        <f aca="false">E47/E7</f>
        <v>0.0292684798035981</v>
      </c>
      <c r="F66" s="25" t="n">
        <f aca="false">F47/F7</f>
        <v>0.0281093134628185</v>
      </c>
    </row>
    <row r="67" customFormat="false" ht="15" hidden="false" customHeight="false" outlineLevel="0" collapsed="false">
      <c r="B67" s="20" t="s">
        <v>159</v>
      </c>
      <c r="C67" s="25" t="n">
        <f aca="false">C49/C7</f>
        <v>0.0271550587328316</v>
      </c>
      <c r="D67" s="25" t="n">
        <f aca="false">D49/D7</f>
        <v>0.0285923007683577</v>
      </c>
      <c r="E67" s="25" t="n">
        <f aca="false">E49/E7</f>
        <v>0.0241589627526948</v>
      </c>
      <c r="F67" s="25" t="n">
        <f aca="false">F49/F7</f>
        <v>0.0305530792169377</v>
      </c>
    </row>
    <row r="68" customFormat="false" ht="15" hidden="false" customHeight="false" outlineLevel="0" collapsed="false">
      <c r="B68" s="20" t="s">
        <v>160</v>
      </c>
      <c r="C68" s="25" t="n">
        <f aca="false">C48/C7</f>
        <v>0.0229200056805502</v>
      </c>
      <c r="D68" s="25" t="n">
        <f aca="false">D48/D7</f>
        <v>0.0282635636667232</v>
      </c>
      <c r="E68" s="25" t="n">
        <f aca="false">E48/E7</f>
        <v>0.0298899075530323</v>
      </c>
      <c r="F68" s="25" t="n">
        <f aca="false">F48/F7</f>
        <v>0.0309087108114408</v>
      </c>
    </row>
    <row r="69" customFormat="false" ht="15" hidden="false" customHeight="false" outlineLevel="0" collapsed="false">
      <c r="B69" s="20" t="s">
        <v>161</v>
      </c>
      <c r="C69" s="24" t="n">
        <f aca="false">C23/C7*365</f>
        <v>56.4002049055609</v>
      </c>
      <c r="D69" s="24" t="n">
        <f aca="false">D23/D7*365</f>
        <v>58.0756486687452</v>
      </c>
      <c r="E69" s="24" t="n">
        <f aca="false">E23/E7*365</f>
        <v>61.8325597452913</v>
      </c>
      <c r="F69" s="24" t="n">
        <f aca="false">F23/F7*365</f>
        <v>63.9879878220208</v>
      </c>
    </row>
    <row r="70" customFormat="false" ht="15" hidden="false" customHeight="false" outlineLevel="0" collapsed="false">
      <c r="B70" s="20" t="s">
        <v>162</v>
      </c>
      <c r="C70" s="24" t="n">
        <f aca="false">C24/C8*365</f>
        <v>8.07569806661716</v>
      </c>
      <c r="D70" s="24" t="n">
        <f aca="false">D24/D8*365</f>
        <v>10.7912924903216</v>
      </c>
      <c r="E70" s="24" t="n">
        <f aca="false">E24/E8*365</f>
        <v>12.6425705484141</v>
      </c>
      <c r="F70" s="24" t="n">
        <f aca="false">F24/F8*365</f>
        <v>9.44546524257784</v>
      </c>
    </row>
    <row r="71" customFormat="false" ht="15" hidden="false" customHeight="false" outlineLevel="0" collapsed="false">
      <c r="B71" s="20" t="s">
        <v>163</v>
      </c>
      <c r="C71" s="24" t="n">
        <f aca="false">C32/C8*365</f>
        <v>104.685277303105</v>
      </c>
      <c r="D71" s="24" t="n">
        <f aca="false">D32/D8*365</f>
        <v>106.721468032148</v>
      </c>
      <c r="E71" s="24" t="n">
        <f aca="false">E32/E8*365</f>
        <v>119.658477219137</v>
      </c>
      <c r="F71" s="24" t="n">
        <f aca="false">F32/F8*365</f>
        <v>115.400524981897</v>
      </c>
    </row>
    <row r="72" customFormat="false" ht="15" hidden="false" customHeight="false" outlineLevel="0" collapsed="false">
      <c r="B72" s="20" t="s">
        <v>164</v>
      </c>
      <c r="C72" s="25" t="n">
        <f aca="false">C25/C7</f>
        <v>0.0538206772027348</v>
      </c>
      <c r="D72" s="25" t="n">
        <f aca="false">D25/D7</f>
        <v>0.0383396167342839</v>
      </c>
      <c r="E72" s="25" t="n">
        <f aca="false">E25/E7</f>
        <v>0.0365363714245528</v>
      </c>
      <c r="F72" s="25" t="n">
        <f aca="false">F25/F7</f>
        <v>0.0350465324718078</v>
      </c>
    </row>
    <row r="73" customFormat="false" ht="15" hidden="false" customHeight="false" outlineLevel="0" collapsed="false">
      <c r="B73" s="20" t="s">
        <v>165</v>
      </c>
      <c r="C73" s="25" t="n">
        <f aca="false">C33/C7</f>
        <v>0.174364995638149</v>
      </c>
      <c r="D73" s="25" t="n">
        <f aca="false">D33/D7</f>
        <v>0.17451765657409</v>
      </c>
      <c r="E73" s="25" t="n">
        <f aca="false">E33/E7</f>
        <v>0.221343358011431</v>
      </c>
      <c r="F73" s="25" t="n">
        <f aca="false">F33/F7</f>
        <v>0.181280802381771</v>
      </c>
    </row>
    <row r="74" customFormat="false" ht="15" hidden="false" customHeight="false" outlineLevel="0" collapsed="false">
      <c r="B74" s="20" t="s">
        <v>166</v>
      </c>
      <c r="C74" s="25" t="n">
        <f aca="false">C29/C7</f>
        <v>0.13802722606561</v>
      </c>
      <c r="D74" s="25" t="n">
        <f aca="false">D29/D7</f>
        <v>0.168955216092464</v>
      </c>
      <c r="E74" s="25" t="n">
        <f aca="false">E29/E7</f>
        <v>0.191374173667319</v>
      </c>
      <c r="F74" s="25" t="n">
        <f aca="false">F29/F7</f>
        <v>0.201188962925406</v>
      </c>
    </row>
    <row r="75" customFormat="false" ht="15" hidden="false" customHeight="false" outlineLevel="0" collapsed="false">
      <c r="B75" s="20" t="s">
        <v>167</v>
      </c>
      <c r="C75" s="25" t="n">
        <f aca="false">C37/C7</f>
        <v>0.12462214197318</v>
      </c>
      <c r="D75" s="25" t="n">
        <f aca="false">D37/D7</f>
        <v>0.130054659065708</v>
      </c>
      <c r="E75" s="25" t="n">
        <f aca="false">E37/E7</f>
        <v>0.117350109325252</v>
      </c>
      <c r="F75" s="25" t="n">
        <f aca="false">F37/F7</f>
        <v>0.0998387643243841</v>
      </c>
    </row>
    <row r="76" customFormat="false" ht="15" hidden="false" customHeight="false" outlineLevel="0" collapsed="false">
      <c r="B76" s="20" t="s">
        <v>168</v>
      </c>
      <c r="C76" s="24" t="n">
        <f aca="false">C34+C36-C22-C27</f>
        <v>-49.04</v>
      </c>
      <c r="D76" s="24" t="n">
        <f aca="false">D34+D36-D22-D27</f>
        <v>-51.011</v>
      </c>
      <c r="E76" s="24" t="n">
        <f aca="false">E34+E36-E22-E27</f>
        <v>-50.021</v>
      </c>
      <c r="F76" s="24" t="n">
        <f aca="false">F34+F36-F22-F27</f>
        <v>-33.763</v>
      </c>
    </row>
  </sheetData>
  <mergeCells count="1"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1" min="3" style="0" width="12"/>
  </cols>
  <sheetData>
    <row r="2" customFormat="false" ht="17.35" hidden="false" customHeight="false" outlineLevel="0" collapsed="false">
      <c r="B2" s="1" t="s">
        <v>169</v>
      </c>
    </row>
    <row r="3" customFormat="false" ht="15" hidden="false" customHeight="false" outlineLevel="0" collapsed="false">
      <c r="B3" s="2" t="str">
        <f aca="false">"Scenario: "&amp;Inputs!$D$4&amp;"   ·   FY2022–FY2025 actual (linked), FY2026E–FY2030E forecast"</f>
        <v>Scenario: Base   ·   FY2022–FY2025 actual (linked), FY2026E–FY2030E forecast</v>
      </c>
    </row>
    <row r="5" customFormat="false" ht="15" hidden="false" customHeight="false" outlineLevel="0" collapsed="false">
      <c r="C5" s="11" t="s">
        <v>86</v>
      </c>
      <c r="D5" s="11" t="s">
        <v>87</v>
      </c>
      <c r="E5" s="11" t="s">
        <v>88</v>
      </c>
      <c r="F5" s="11" t="s">
        <v>89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</row>
    <row r="6" customFormat="false" ht="15" hidden="false" customHeight="false" outlineLevel="0" collapsed="false">
      <c r="B6" s="8" t="s">
        <v>170</v>
      </c>
      <c r="C6" s="19"/>
      <c r="D6" s="19"/>
      <c r="E6" s="19"/>
      <c r="F6" s="19"/>
      <c r="G6" s="19"/>
      <c r="H6" s="19"/>
      <c r="I6" s="19"/>
      <c r="J6" s="19"/>
      <c r="K6" s="19"/>
    </row>
    <row r="7" customFormat="false" ht="15" hidden="false" customHeight="false" outlineLevel="0" collapsed="false">
      <c r="B7" s="20" t="s">
        <v>90</v>
      </c>
      <c r="C7" s="15" t="n">
        <f aca="false">Historical!C7</f>
        <v>394.328</v>
      </c>
      <c r="D7" s="15" t="n">
        <f aca="false">Historical!D7</f>
        <v>383.285</v>
      </c>
      <c r="E7" s="15" t="n">
        <f aca="false">Historical!E7</f>
        <v>391.035</v>
      </c>
      <c r="F7" s="15" t="n">
        <f aca="false">Historical!F7</f>
        <v>416.161</v>
      </c>
      <c r="G7" s="24" t="n">
        <f aca="false">F7*(1+Inputs!C$20)</f>
        <v>441.13066</v>
      </c>
      <c r="H7" s="24" t="n">
        <f aca="false">G7*(1+Inputs!D$20)</f>
        <v>463.187193</v>
      </c>
      <c r="I7" s="24" t="n">
        <f aca="false">H7*(1+Inputs!E$20)</f>
        <v>486.34655265</v>
      </c>
      <c r="J7" s="24" t="n">
        <f aca="false">I7*(1+Inputs!F$20)</f>
        <v>505.800414756</v>
      </c>
      <c r="K7" s="24" t="n">
        <f aca="false">J7*(1+Inputs!G$20)</f>
        <v>526.03243134624</v>
      </c>
    </row>
    <row r="8" customFormat="false" ht="15" hidden="false" customHeight="false" outlineLevel="0" collapsed="false">
      <c r="B8" s="20" t="s">
        <v>171</v>
      </c>
      <c r="C8" s="25"/>
      <c r="D8" s="25" t="n">
        <f aca="false">D7/C7-1</f>
        <v>-0.0280046053031993</v>
      </c>
      <c r="E8" s="25" t="n">
        <f aca="false">E7/D7-1</f>
        <v>0.0202199407751411</v>
      </c>
      <c r="F8" s="25" t="n">
        <f aca="false">F7/E7-1</f>
        <v>0.0642551178283273</v>
      </c>
      <c r="G8" s="25" t="n">
        <f aca="false">G7/F7-1</f>
        <v>0.0600000000000001</v>
      </c>
      <c r="H8" s="25" t="n">
        <f aca="false">H7/G7-1</f>
        <v>0.05</v>
      </c>
      <c r="I8" s="25" t="n">
        <f aca="false">I7/H7-1</f>
        <v>0.05</v>
      </c>
      <c r="J8" s="25" t="n">
        <f aca="false">J7/I7-1</f>
        <v>0.04</v>
      </c>
      <c r="K8" s="25" t="n">
        <f aca="false">K7/J7-1</f>
        <v>0.04</v>
      </c>
    </row>
    <row r="9" customFormat="false" ht="15" hidden="false" customHeight="false" outlineLevel="0" collapsed="false">
      <c r="B9" s="20" t="s">
        <v>109</v>
      </c>
      <c r="C9" s="15" t="n">
        <f aca="false">Historical!C8</f>
        <v>223.546</v>
      </c>
      <c r="D9" s="15" t="n">
        <f aca="false">Historical!D8</f>
        <v>214.137</v>
      </c>
      <c r="E9" s="15" t="n">
        <f aca="false">Historical!E8</f>
        <v>210.352</v>
      </c>
      <c r="F9" s="15" t="n">
        <f aca="false">Historical!F8</f>
        <v>220.96</v>
      </c>
      <c r="G9" s="24" t="n">
        <f aca="false">G7*(1-Inputs!C$26)</f>
        <v>233.7992498</v>
      </c>
      <c r="H9" s="24" t="n">
        <f aca="false">H7*(1-Inputs!D$26)</f>
        <v>244.562837904</v>
      </c>
      <c r="I9" s="24" t="n">
        <f aca="false">I7*(1-Inputs!E$26)</f>
        <v>255.8182866939</v>
      </c>
      <c r="J9" s="24" t="n">
        <f aca="false">J7*(1-Inputs!F$26)</f>
        <v>265.5452177469</v>
      </c>
      <c r="K9" s="24" t="n">
        <f aca="false">K7*(1-Inputs!G$26)</f>
        <v>276.167026456776</v>
      </c>
    </row>
    <row r="10" customFormat="false" ht="15" hidden="false" customHeight="false" outlineLevel="0" collapsed="false">
      <c r="B10" s="3" t="s">
        <v>110</v>
      </c>
      <c r="C10" s="21" t="n">
        <f aca="false">C7-C9</f>
        <v>170.782</v>
      </c>
      <c r="D10" s="21" t="n">
        <f aca="false">D7-D9</f>
        <v>169.148</v>
      </c>
      <c r="E10" s="21" t="n">
        <f aca="false">E7-E9</f>
        <v>180.683</v>
      </c>
      <c r="F10" s="21" t="n">
        <f aca="false">F7-F9</f>
        <v>195.201</v>
      </c>
      <c r="G10" s="21" t="n">
        <f aca="false">G7-G9</f>
        <v>207.3314102</v>
      </c>
      <c r="H10" s="21" t="n">
        <f aca="false">H7-H9</f>
        <v>218.624355096</v>
      </c>
      <c r="I10" s="21" t="n">
        <f aca="false">I7-I9</f>
        <v>230.5282659561</v>
      </c>
      <c r="J10" s="21" t="n">
        <f aca="false">J7-J9</f>
        <v>240.2551970091</v>
      </c>
      <c r="K10" s="21" t="n">
        <f aca="false">K7-K9</f>
        <v>249.865404889464</v>
      </c>
    </row>
    <row r="11" customFormat="false" ht="15" hidden="false" customHeight="false" outlineLevel="0" collapsed="false">
      <c r="B11" s="20" t="s">
        <v>172</v>
      </c>
      <c r="C11" s="25" t="n">
        <f aca="false">C10/C7</f>
        <v>0.433096305613601</v>
      </c>
      <c r="D11" s="25" t="n">
        <f aca="false">D10/D7</f>
        <v>0.441311295772076</v>
      </c>
      <c r="E11" s="25" t="n">
        <f aca="false">E10/E7</f>
        <v>0.462063498152339</v>
      </c>
      <c r="F11" s="25" t="n">
        <f aca="false">F10/F7</f>
        <v>0.469051641071604</v>
      </c>
      <c r="G11" s="25" t="n">
        <f aca="false">G10/G7</f>
        <v>0.47</v>
      </c>
      <c r="H11" s="25" t="n">
        <f aca="false">H10/H7</f>
        <v>0.472</v>
      </c>
      <c r="I11" s="25" t="n">
        <f aca="false">I10/I7</f>
        <v>0.474</v>
      </c>
      <c r="J11" s="25" t="n">
        <f aca="false">J10/J7</f>
        <v>0.475</v>
      </c>
      <c r="K11" s="25" t="n">
        <f aca="false">K10/K7</f>
        <v>0.475</v>
      </c>
    </row>
    <row r="12" customFormat="false" ht="15" hidden="false" customHeight="false" outlineLevel="0" collapsed="false">
      <c r="B12" s="20" t="s">
        <v>111</v>
      </c>
      <c r="C12" s="15" t="n">
        <f aca="false">Historical!C10</f>
        <v>26.251</v>
      </c>
      <c r="D12" s="15" t="n">
        <f aca="false">Historical!D10</f>
        <v>29.915</v>
      </c>
      <c r="E12" s="15" t="n">
        <f aca="false">Historical!E10</f>
        <v>31.37</v>
      </c>
      <c r="F12" s="15" t="n">
        <f aca="false">Historical!F10</f>
        <v>34.55</v>
      </c>
      <c r="G12" s="24" t="n">
        <f aca="false">G7*Inputs!C$32</f>
        <v>36.61384478</v>
      </c>
      <c r="H12" s="24" t="n">
        <f aca="false">H7*Inputs!D$32</f>
        <v>38.444537019</v>
      </c>
      <c r="I12" s="24" t="n">
        <f aca="false">I7*Inputs!E$32</f>
        <v>40.36676386995</v>
      </c>
      <c r="J12" s="24" t="n">
        <f aca="false">J7*Inputs!F$32</f>
        <v>41.981434424748</v>
      </c>
      <c r="K12" s="24" t="n">
        <f aca="false">K7*Inputs!G$32</f>
        <v>43.6606918017379</v>
      </c>
    </row>
    <row r="13" customFormat="false" ht="15" hidden="false" customHeight="false" outlineLevel="0" collapsed="false">
      <c r="B13" s="20" t="s">
        <v>112</v>
      </c>
      <c r="C13" s="15" t="n">
        <f aca="false">Historical!C11</f>
        <v>25.094</v>
      </c>
      <c r="D13" s="15" t="n">
        <f aca="false">Historical!D11</f>
        <v>24.932</v>
      </c>
      <c r="E13" s="15" t="n">
        <f aca="false">Historical!E11</f>
        <v>26.097</v>
      </c>
      <c r="F13" s="15" t="n">
        <f aca="false">Historical!F11</f>
        <v>27.601</v>
      </c>
      <c r="G13" s="24" t="n">
        <f aca="false">G7*Inputs!C$38</f>
        <v>29.11462356</v>
      </c>
      <c r="H13" s="24" t="n">
        <f aca="false">H7*Inputs!D$38</f>
        <v>30.570354738</v>
      </c>
      <c r="I13" s="24" t="n">
        <f aca="false">I7*Inputs!E$38</f>
        <v>32.0988724749</v>
      </c>
      <c r="J13" s="24" t="n">
        <f aca="false">J7*Inputs!F$38</f>
        <v>33.382827373896</v>
      </c>
      <c r="K13" s="24" t="n">
        <f aca="false">K7*Inputs!G$38</f>
        <v>34.7181404688518</v>
      </c>
    </row>
    <row r="14" customFormat="false" ht="15" hidden="false" customHeight="false" outlineLevel="0" collapsed="false">
      <c r="B14" s="3" t="s">
        <v>92</v>
      </c>
      <c r="C14" s="21" t="n">
        <f aca="false">C10-C12-C13</f>
        <v>119.437</v>
      </c>
      <c r="D14" s="21" t="n">
        <f aca="false">D10-D12-D13</f>
        <v>114.301</v>
      </c>
      <c r="E14" s="21" t="n">
        <f aca="false">E10-E12-E13</f>
        <v>123.216</v>
      </c>
      <c r="F14" s="21" t="n">
        <f aca="false">F10-F12-F13</f>
        <v>133.05</v>
      </c>
      <c r="G14" s="21" t="n">
        <f aca="false">G10-G12-G13</f>
        <v>141.60294186</v>
      </c>
      <c r="H14" s="21" t="n">
        <f aca="false">H10-H12-H13</f>
        <v>149.609463339</v>
      </c>
      <c r="I14" s="21" t="n">
        <f aca="false">I10-I12-I13</f>
        <v>158.06262961125</v>
      </c>
      <c r="J14" s="21" t="n">
        <f aca="false">J10-J12-J13</f>
        <v>164.890935210456</v>
      </c>
      <c r="K14" s="21" t="n">
        <f aca="false">K10-K12-K13</f>
        <v>171.486572618874</v>
      </c>
    </row>
    <row r="15" customFormat="false" ht="15" hidden="false" customHeight="false" outlineLevel="0" collapsed="false">
      <c r="B15" s="20" t="s">
        <v>173</v>
      </c>
      <c r="C15" s="25" t="n">
        <f aca="false">C14/C7</f>
        <v>0.302887443955286</v>
      </c>
      <c r="D15" s="25" t="n">
        <f aca="false">D14/D7</f>
        <v>0.298214122650247</v>
      </c>
      <c r="E15" s="25" t="n">
        <f aca="false">E14/E7</f>
        <v>0.315102228700756</v>
      </c>
      <c r="F15" s="25" t="n">
        <f aca="false">F14/F7</f>
        <v>0.319707997625919</v>
      </c>
      <c r="G15" s="25" t="n">
        <f aca="false">G14/G7</f>
        <v>0.321</v>
      </c>
      <c r="H15" s="25" t="n">
        <f aca="false">H14/H7</f>
        <v>0.323</v>
      </c>
      <c r="I15" s="25" t="n">
        <f aca="false">I14/I7</f>
        <v>0.325</v>
      </c>
      <c r="J15" s="25" t="n">
        <f aca="false">J14/J7</f>
        <v>0.326</v>
      </c>
      <c r="K15" s="25" t="n">
        <f aca="false">K14/K7</f>
        <v>0.326</v>
      </c>
    </row>
    <row r="16" customFormat="false" ht="15" hidden="false" customHeight="false" outlineLevel="0" collapsed="false">
      <c r="B16" s="20" t="s">
        <v>174</v>
      </c>
      <c r="C16" s="15" t="n">
        <f aca="false">Historical!C47</f>
        <v>11.104</v>
      </c>
      <c r="D16" s="15" t="n">
        <f aca="false">Historical!D47</f>
        <v>11.519</v>
      </c>
      <c r="E16" s="15" t="n">
        <f aca="false">Historical!E47</f>
        <v>11.445</v>
      </c>
      <c r="F16" s="15" t="n">
        <f aca="false">Historical!F47</f>
        <v>11.698</v>
      </c>
      <c r="G16" s="24" t="n">
        <f aca="false">G7*Inputs!C$50</f>
        <v>12.35165848</v>
      </c>
      <c r="H16" s="24" t="n">
        <f aca="false">H7*Inputs!D$50</f>
        <v>12.969241404</v>
      </c>
      <c r="I16" s="24" t="n">
        <f aca="false">I7*Inputs!E$50</f>
        <v>13.6177034742</v>
      </c>
      <c r="J16" s="24" t="n">
        <f aca="false">J7*Inputs!F$50</f>
        <v>14.162411613168</v>
      </c>
      <c r="K16" s="24" t="n">
        <f aca="false">K7*Inputs!G$50</f>
        <v>14.7289080776947</v>
      </c>
    </row>
    <row r="17" customFormat="false" ht="15" hidden="false" customHeight="false" outlineLevel="0" collapsed="false">
      <c r="B17" s="20" t="s">
        <v>175</v>
      </c>
      <c r="C17" s="24" t="n">
        <f aca="false">C14+C16</f>
        <v>130.541</v>
      </c>
      <c r="D17" s="24" t="n">
        <f aca="false">D14+D16</f>
        <v>125.82</v>
      </c>
      <c r="E17" s="24" t="n">
        <f aca="false">E14+E16</f>
        <v>134.661</v>
      </c>
      <c r="F17" s="24" t="n">
        <f aca="false">F14+F16</f>
        <v>144.748</v>
      </c>
      <c r="G17" s="24" t="n">
        <f aca="false">G14+G16</f>
        <v>153.95460034</v>
      </c>
      <c r="H17" s="24" t="n">
        <f aca="false">H14+H16</f>
        <v>162.578704743</v>
      </c>
      <c r="I17" s="24" t="n">
        <f aca="false">I14+I16</f>
        <v>171.68033308545</v>
      </c>
      <c r="J17" s="24" t="n">
        <f aca="false">J14+J16</f>
        <v>179.053346823624</v>
      </c>
      <c r="K17" s="24" t="n">
        <f aca="false">K14+K16</f>
        <v>186.215480696569</v>
      </c>
    </row>
    <row r="18" customFormat="false" ht="15" hidden="false" customHeight="false" outlineLevel="0" collapsed="false">
      <c r="B18" s="20" t="s">
        <v>176</v>
      </c>
      <c r="C18" s="19"/>
      <c r="D18" s="19"/>
      <c r="E18" s="19"/>
      <c r="F18" s="19"/>
      <c r="G18" s="24" t="n">
        <f aca="false">(F33+F38)*Inputs!$C$9</f>
        <v>5.2968</v>
      </c>
      <c r="H18" s="24" t="n">
        <f aca="false">(G33+G38)*Inputs!$C$9</f>
        <v>5.0968</v>
      </c>
      <c r="I18" s="24" t="n">
        <f aca="false">(H33+H38)*Inputs!$C$9</f>
        <v>4.8968</v>
      </c>
      <c r="J18" s="24" t="n">
        <f aca="false">(I33+I38)*Inputs!$C$9</f>
        <v>4.6968</v>
      </c>
      <c r="K18" s="24" t="n">
        <f aca="false">(J33+J38)*Inputs!$C$9</f>
        <v>4.5768</v>
      </c>
    </row>
    <row r="19" customFormat="false" ht="15" hidden="false" customHeight="false" outlineLevel="0" collapsed="false">
      <c r="B19" s="20" t="s">
        <v>177</v>
      </c>
      <c r="C19" s="19"/>
      <c r="D19" s="19"/>
      <c r="E19" s="19"/>
      <c r="F19" s="19"/>
      <c r="G19" s="24" t="n">
        <f aca="false">-((F45+F48)*Inputs!$C$8+F46*Inputs!$C$10)</f>
        <v>-3.94628</v>
      </c>
      <c r="H19" s="24" t="n">
        <f aca="false">-((G45+G48)*Inputs!$C$8+G46*Inputs!$C$10)</f>
        <v>-3.74628</v>
      </c>
      <c r="I19" s="24" t="n">
        <f aca="false">-((H45+H48)*Inputs!$C$8+H46*Inputs!$C$10)</f>
        <v>-3.54628</v>
      </c>
      <c r="J19" s="24" t="n">
        <f aca="false">-((I45+I48)*Inputs!$C$8+I46*Inputs!$C$10)</f>
        <v>-3.34628</v>
      </c>
      <c r="K19" s="24" t="n">
        <f aca="false">-((J45+J48)*Inputs!$C$8+J46*Inputs!$C$10)</f>
        <v>-3.22628</v>
      </c>
    </row>
    <row r="20" customFormat="false" ht="15" hidden="false" customHeight="false" outlineLevel="0" collapsed="false">
      <c r="B20" s="20" t="s">
        <v>178</v>
      </c>
      <c r="C20" s="15" t="n">
        <f aca="false">Historical!C13</f>
        <v>-0.334</v>
      </c>
      <c r="D20" s="15" t="n">
        <f aca="false">Historical!D13</f>
        <v>-0.565</v>
      </c>
      <c r="E20" s="15" t="n">
        <f aca="false">Historical!E13</f>
        <v>0.269</v>
      </c>
      <c r="F20" s="15" t="n">
        <f aca="false">Historical!F13</f>
        <v>-0.321</v>
      </c>
      <c r="G20" s="24" t="n">
        <f aca="false">G18+G19</f>
        <v>1.35052</v>
      </c>
      <c r="H20" s="24" t="n">
        <f aca="false">H18+H19</f>
        <v>1.35052</v>
      </c>
      <c r="I20" s="24" t="n">
        <f aca="false">I18+I19</f>
        <v>1.35052</v>
      </c>
      <c r="J20" s="24" t="n">
        <f aca="false">J18+J19</f>
        <v>1.35052</v>
      </c>
      <c r="K20" s="24" t="n">
        <f aca="false">K18+K19</f>
        <v>1.35052</v>
      </c>
    </row>
    <row r="21" customFormat="false" ht="15" hidden="false" customHeight="false" outlineLevel="0" collapsed="false">
      <c r="B21" s="3" t="s">
        <v>115</v>
      </c>
      <c r="C21" s="21" t="n">
        <f aca="false">C14+C20</f>
        <v>119.103</v>
      </c>
      <c r="D21" s="21" t="n">
        <f aca="false">D14+D20</f>
        <v>113.736</v>
      </c>
      <c r="E21" s="21" t="n">
        <f aca="false">E14+E20</f>
        <v>123.485</v>
      </c>
      <c r="F21" s="21" t="n">
        <f aca="false">F14+F20</f>
        <v>132.729</v>
      </c>
      <c r="G21" s="21" t="n">
        <f aca="false">G14+G20</f>
        <v>142.95346186</v>
      </c>
      <c r="H21" s="21" t="n">
        <f aca="false">H14+H20</f>
        <v>150.959983339</v>
      </c>
      <c r="I21" s="21" t="n">
        <f aca="false">I14+I20</f>
        <v>159.41314961125</v>
      </c>
      <c r="J21" s="21" t="n">
        <f aca="false">J14+J20</f>
        <v>166.241455210456</v>
      </c>
      <c r="K21" s="21" t="n">
        <f aca="false">K14+K20</f>
        <v>172.837092618874</v>
      </c>
    </row>
    <row r="22" customFormat="false" ht="15" hidden="false" customHeight="false" outlineLevel="0" collapsed="false">
      <c r="B22" s="20" t="s">
        <v>116</v>
      </c>
      <c r="C22" s="15" t="n">
        <f aca="false">Historical!C15</f>
        <v>19.3</v>
      </c>
      <c r="D22" s="15" t="n">
        <f aca="false">Historical!D15</f>
        <v>16.741</v>
      </c>
      <c r="E22" s="15" t="n">
        <f aca="false">Historical!E15</f>
        <v>29.749</v>
      </c>
      <c r="F22" s="15" t="n">
        <f aca="false">Historical!F15</f>
        <v>20.719</v>
      </c>
      <c r="G22" s="24" t="n">
        <f aca="false">G21*Inputs!C$44</f>
        <v>23.5873212069</v>
      </c>
      <c r="H22" s="24" t="n">
        <f aca="false">H21*Inputs!D$44</f>
        <v>24.908397250935</v>
      </c>
      <c r="I22" s="24" t="n">
        <f aca="false">I21*Inputs!E$44</f>
        <v>26.3031696858562</v>
      </c>
      <c r="J22" s="24" t="n">
        <f aca="false">J21*Inputs!F$44</f>
        <v>27.4298401097252</v>
      </c>
      <c r="K22" s="24" t="n">
        <f aca="false">K21*Inputs!G$44</f>
        <v>28.5181202821142</v>
      </c>
    </row>
    <row r="23" customFormat="false" ht="15" hidden="false" customHeight="false" outlineLevel="0" collapsed="false">
      <c r="B23" s="3" t="s">
        <v>94</v>
      </c>
      <c r="C23" s="21" t="n">
        <f aca="false">C21-C22</f>
        <v>99.803</v>
      </c>
      <c r="D23" s="21" t="n">
        <f aca="false">D21-D22</f>
        <v>96.995</v>
      </c>
      <c r="E23" s="21" t="n">
        <f aca="false">E21-E22</f>
        <v>93.736</v>
      </c>
      <c r="F23" s="21" t="n">
        <f aca="false">F21-F22</f>
        <v>112.01</v>
      </c>
      <c r="G23" s="21" t="n">
        <f aca="false">G21-G22</f>
        <v>119.3661406531</v>
      </c>
      <c r="H23" s="21" t="n">
        <f aca="false">H21-H22</f>
        <v>126.051586088065</v>
      </c>
      <c r="I23" s="21" t="n">
        <f aca="false">I21-I22</f>
        <v>133.109979925394</v>
      </c>
      <c r="J23" s="21" t="n">
        <f aca="false">J21-J22</f>
        <v>138.811615100731</v>
      </c>
      <c r="K23" s="21" t="n">
        <f aca="false">K21-K22</f>
        <v>144.31897233676</v>
      </c>
    </row>
    <row r="24" customFormat="false" ht="15" hidden="false" customHeight="false" outlineLevel="0" collapsed="false">
      <c r="B24" s="20" t="s">
        <v>179</v>
      </c>
      <c r="C24" s="25" t="n">
        <f aca="false">C23/C7</f>
        <v>0.253096407051997</v>
      </c>
      <c r="D24" s="25" t="n">
        <f aca="false">D23/D7</f>
        <v>0.253062342643203</v>
      </c>
      <c r="E24" s="25" t="n">
        <f aca="false">E23/E7</f>
        <v>0.239712557699439</v>
      </c>
      <c r="F24" s="25" t="n">
        <f aca="false">F23/F7</f>
        <v>0.269150641218182</v>
      </c>
      <c r="G24" s="25" t="n">
        <f aca="false">G23/G7</f>
        <v>0.270591349631195</v>
      </c>
      <c r="H24" s="25" t="n">
        <f aca="false">H23/H7</f>
        <v>0.272139618696377</v>
      </c>
      <c r="I24" s="25" t="n">
        <f aca="false">I23/I7</f>
        <v>0.27369368447274</v>
      </c>
      <c r="J24" s="25" t="n">
        <f aca="false">J23/J7</f>
        <v>0.274439504300711</v>
      </c>
      <c r="K24" s="25" t="n">
        <f aca="false">K23/K7</f>
        <v>0.274353754135299</v>
      </c>
    </row>
    <row r="26" customFormat="false" ht="15" hidden="false" customHeight="false" outlineLevel="0" collapsed="false">
      <c r="B26" s="8" t="s">
        <v>180</v>
      </c>
      <c r="C26" s="19"/>
      <c r="D26" s="19"/>
      <c r="E26" s="19"/>
      <c r="F26" s="19"/>
      <c r="G26" s="19"/>
      <c r="H26" s="19"/>
      <c r="I26" s="19"/>
      <c r="J26" s="19"/>
      <c r="K26" s="19"/>
    </row>
    <row r="27" customFormat="false" ht="15" hidden="false" customHeight="false" outlineLevel="0" collapsed="false">
      <c r="B27" s="20" t="s">
        <v>181</v>
      </c>
      <c r="C27" s="18" t="n">
        <f aca="false">Historical!C57</f>
        <v>15.943</v>
      </c>
      <c r="D27" s="18" t="n">
        <f aca="false">Historical!D57</f>
        <v>15.55</v>
      </c>
      <c r="E27" s="18" t="n">
        <f aca="false">Historical!E57</f>
        <v>15.117</v>
      </c>
      <c r="F27" s="18" t="n">
        <f aca="false">Historical!F57</f>
        <v>14.773</v>
      </c>
      <c r="G27" s="26" t="n">
        <f aca="false">F27-G74/G28+G61/G28*0.6</f>
        <v>14.3733267369303</v>
      </c>
      <c r="H27" s="26" t="n">
        <f aca="false">G27-H74/H28+H61/H28*0.6</f>
        <v>13.9723832795074</v>
      </c>
      <c r="I27" s="26" t="n">
        <f aca="false">H27-I74/I28+I61/I28*0.6</f>
        <v>13.5714126508305</v>
      </c>
      <c r="J27" s="26" t="n">
        <f aca="false">I27-J74/J28+J61/J28*0.6</f>
        <v>13.1759002239364</v>
      </c>
      <c r="K27" s="26" t="n">
        <f aca="false">J27-K74/K28+K61/K28*0.6</f>
        <v>12.7867311828156</v>
      </c>
    </row>
    <row r="28" customFormat="false" ht="15" hidden="false" customHeight="false" outlineLevel="0" collapsed="false">
      <c r="B28" s="20" t="s">
        <v>182</v>
      </c>
      <c r="C28" s="24"/>
      <c r="D28" s="24"/>
      <c r="E28" s="24"/>
      <c r="F28" s="24" t="n">
        <f aca="false">Inputs!$C$12</f>
        <v>254</v>
      </c>
      <c r="G28" s="24" t="n">
        <f aca="false">F28*(1+Inputs!$C$13)</f>
        <v>269.24</v>
      </c>
      <c r="H28" s="24" t="n">
        <f aca="false">G28*(1+Inputs!$C$13)</f>
        <v>285.3944</v>
      </c>
      <c r="I28" s="24" t="n">
        <f aca="false">H28*(1+Inputs!$C$13)</f>
        <v>302.518064</v>
      </c>
      <c r="J28" s="24" t="n">
        <f aca="false">I28*(1+Inputs!$C$13)</f>
        <v>320.66914784</v>
      </c>
      <c r="K28" s="24" t="n">
        <f aca="false">J28*(1+Inputs!$C$13)</f>
        <v>339.9092967104</v>
      </c>
    </row>
    <row r="29" customFormat="false" ht="15" hidden="false" customHeight="false" outlineLevel="0" collapsed="false">
      <c r="B29" s="20" t="s">
        <v>118</v>
      </c>
      <c r="C29" s="18" t="n">
        <f aca="false">Historical!C18</f>
        <v>16.326</v>
      </c>
      <c r="D29" s="18" t="n">
        <f aca="false">Historical!D18</f>
        <v>15.813</v>
      </c>
      <c r="E29" s="18" t="n">
        <f aca="false">Historical!E18</f>
        <v>15.408</v>
      </c>
      <c r="F29" s="18" t="n">
        <f aca="false">Historical!F18</f>
        <v>15.005</v>
      </c>
      <c r="G29" s="26" t="n">
        <f aca="false">AVERAGE(F27,G27)*1.003</f>
        <v>14.6168828585706</v>
      </c>
      <c r="H29" s="26" t="n">
        <f aca="false">AVERAGE(G27,H27)*1.003</f>
        <v>14.2153735732435</v>
      </c>
      <c r="I29" s="26" t="n">
        <f aca="false">AVERAGE(H27,I27)*1.003</f>
        <v>13.8132136590645</v>
      </c>
      <c r="J29" s="26" t="n">
        <f aca="false">AVERAGE(I27,J27)*1.003</f>
        <v>13.4137774066956</v>
      </c>
      <c r="K29" s="26" t="n">
        <f aca="false">AVERAGE(J27,K27)*1.003</f>
        <v>13.0202596504862</v>
      </c>
    </row>
    <row r="30" customFormat="false" ht="15" hidden="false" customHeight="false" outlineLevel="0" collapsed="false">
      <c r="B30" s="20" t="s">
        <v>95</v>
      </c>
      <c r="C30" s="23" t="n">
        <f aca="false">C23/C29</f>
        <v>6.11313242680387</v>
      </c>
      <c r="D30" s="23" t="n">
        <f aca="false">D23/D29</f>
        <v>6.13387718965408</v>
      </c>
      <c r="E30" s="23" t="n">
        <f aca="false">E23/E29</f>
        <v>6.08359293873313</v>
      </c>
      <c r="F30" s="23" t="n">
        <f aca="false">F23/F29</f>
        <v>7.46484505164945</v>
      </c>
      <c r="G30" s="23" t="n">
        <f aca="false">G23/G29</f>
        <v>8.16631985137037</v>
      </c>
      <c r="H30" s="23" t="n">
        <f aca="false">H23/H29</f>
        <v>8.8672721429792</v>
      </c>
      <c r="I30" s="23" t="n">
        <f aca="false">I23/I29</f>
        <v>9.63642373243425</v>
      </c>
      <c r="J30" s="23" t="n">
        <f aca="false">J23/J29</f>
        <v>10.3484358575566</v>
      </c>
      <c r="K30" s="23" t="n">
        <f aca="false">K23/K29</f>
        <v>11.0841854318452</v>
      </c>
    </row>
    <row r="32" customFormat="false" ht="15" hidden="false" customHeight="false" outlineLevel="0" collapsed="false">
      <c r="B32" s="8" t="s">
        <v>183</v>
      </c>
      <c r="C32" s="19"/>
      <c r="D32" s="19"/>
      <c r="E32" s="19"/>
      <c r="F32" s="19"/>
      <c r="G32" s="19"/>
      <c r="H32" s="19"/>
      <c r="I32" s="19"/>
      <c r="J32" s="19"/>
      <c r="K32" s="19"/>
    </row>
    <row r="33" customFormat="false" ht="15" hidden="false" customHeight="false" outlineLevel="0" collapsed="false">
      <c r="B33" s="20" t="s">
        <v>120</v>
      </c>
      <c r="C33" s="15" t="n">
        <f aca="false">Historical!C22</f>
        <v>48.304</v>
      </c>
      <c r="D33" s="15" t="n">
        <f aca="false">Historical!D22</f>
        <v>61.555</v>
      </c>
      <c r="E33" s="15" t="n">
        <f aca="false">Historical!E22</f>
        <v>65.171</v>
      </c>
      <c r="F33" s="15" t="n">
        <f aca="false">Historical!F22</f>
        <v>54.697</v>
      </c>
      <c r="G33" s="24" t="n">
        <f aca="false">G81</f>
        <v>59.697</v>
      </c>
      <c r="H33" s="24" t="n">
        <f aca="false">H81</f>
        <v>64.697</v>
      </c>
      <c r="I33" s="24" t="n">
        <f aca="false">I81</f>
        <v>69.697</v>
      </c>
      <c r="J33" s="24" t="n">
        <f aca="false">J81</f>
        <v>71.697</v>
      </c>
      <c r="K33" s="24" t="n">
        <f aca="false">K81</f>
        <v>73.697</v>
      </c>
    </row>
    <row r="34" customFormat="false" ht="15" hidden="false" customHeight="false" outlineLevel="0" collapsed="false">
      <c r="B34" s="20" t="s">
        <v>184</v>
      </c>
      <c r="C34" s="15" t="n">
        <f aca="false">Historical!C23</f>
        <v>60.932</v>
      </c>
      <c r="D34" s="15" t="n">
        <f aca="false">Historical!D23</f>
        <v>60.985</v>
      </c>
      <c r="E34" s="15" t="n">
        <f aca="false">Historical!E23</f>
        <v>66.243</v>
      </c>
      <c r="F34" s="15" t="n">
        <f aca="false">Historical!F23</f>
        <v>72.957</v>
      </c>
      <c r="G34" s="24" t="n">
        <f aca="false">G7*Inputs!C$68/365</f>
        <v>77.3489376438356</v>
      </c>
      <c r="H34" s="24" t="n">
        <f aca="false">H7*Inputs!D$68/365</f>
        <v>81.2163845260274</v>
      </c>
      <c r="I34" s="24" t="n">
        <f aca="false">I7*Inputs!E$68/365</f>
        <v>85.2772037523288</v>
      </c>
      <c r="J34" s="24" t="n">
        <f aca="false">J7*Inputs!F$68/365</f>
        <v>88.6882919024219</v>
      </c>
      <c r="K34" s="24" t="n">
        <f aca="false">K7*Inputs!G$68/365</f>
        <v>92.2358235785188</v>
      </c>
    </row>
    <row r="35" customFormat="false" ht="15" hidden="false" customHeight="false" outlineLevel="0" collapsed="false">
      <c r="B35" s="20" t="s">
        <v>122</v>
      </c>
      <c r="C35" s="15" t="n">
        <f aca="false">Historical!C24</f>
        <v>4.946</v>
      </c>
      <c r="D35" s="15" t="n">
        <f aca="false">Historical!D24</f>
        <v>6.331</v>
      </c>
      <c r="E35" s="15" t="n">
        <f aca="false">Historical!E24</f>
        <v>7.286</v>
      </c>
      <c r="F35" s="15" t="n">
        <f aca="false">Historical!F24</f>
        <v>5.718</v>
      </c>
      <c r="G35" s="24" t="n">
        <f aca="false">G9*Inputs!C$74/365</f>
        <v>6.40545889863014</v>
      </c>
      <c r="H35" s="24" t="n">
        <f aca="false">H9*Inputs!D$74/365</f>
        <v>6.70035172339726</v>
      </c>
      <c r="I35" s="24" t="n">
        <f aca="false">I9*Inputs!E$74/365</f>
        <v>7.00872018339452</v>
      </c>
      <c r="J35" s="24" t="n">
        <f aca="false">J9*Inputs!F$74/365</f>
        <v>7.27521144512055</v>
      </c>
      <c r="K35" s="24" t="n">
        <f aca="false">K9*Inputs!G$74/365</f>
        <v>7.56621990292537</v>
      </c>
    </row>
    <row r="36" customFormat="false" ht="15" hidden="false" customHeight="false" outlineLevel="0" collapsed="false">
      <c r="B36" s="20" t="s">
        <v>123</v>
      </c>
      <c r="C36" s="15" t="n">
        <f aca="false">Historical!C25</f>
        <v>21.223</v>
      </c>
      <c r="D36" s="15" t="n">
        <f aca="false">Historical!D25</f>
        <v>14.695</v>
      </c>
      <c r="E36" s="15" t="n">
        <f aca="false">Historical!E25</f>
        <v>14.287</v>
      </c>
      <c r="F36" s="15" t="n">
        <f aca="false">Historical!F25</f>
        <v>14.585</v>
      </c>
      <c r="G36" s="24" t="n">
        <f aca="false">G7*Inputs!C$86</f>
        <v>15.4395731</v>
      </c>
      <c r="H36" s="24" t="n">
        <f aca="false">H7*Inputs!D$86</f>
        <v>16.211551755</v>
      </c>
      <c r="I36" s="24" t="n">
        <f aca="false">I7*Inputs!E$86</f>
        <v>17.02212934275</v>
      </c>
      <c r="J36" s="24" t="n">
        <f aca="false">J7*Inputs!F$86</f>
        <v>17.70301451646</v>
      </c>
      <c r="K36" s="24" t="n">
        <f aca="false">K7*Inputs!G$86</f>
        <v>18.4111350971184</v>
      </c>
    </row>
    <row r="37" customFormat="false" ht="15" hidden="false" customHeight="false" outlineLevel="0" collapsed="false">
      <c r="B37" s="3" t="s">
        <v>124</v>
      </c>
      <c r="C37" s="21" t="n">
        <f aca="false">SUM(C33:C36)</f>
        <v>135.405</v>
      </c>
      <c r="D37" s="21" t="n">
        <f aca="false">SUM(D33:D36)</f>
        <v>143.566</v>
      </c>
      <c r="E37" s="21" t="n">
        <f aca="false">SUM(E33:E36)</f>
        <v>152.987</v>
      </c>
      <c r="F37" s="21" t="n">
        <f aca="false">SUM(F33:F36)</f>
        <v>147.957</v>
      </c>
      <c r="G37" s="21" t="n">
        <f aca="false">SUM(G33:G36)</f>
        <v>158.890969642466</v>
      </c>
      <c r="H37" s="21" t="n">
        <f aca="false">SUM(H33:H36)</f>
        <v>168.825288004425</v>
      </c>
      <c r="I37" s="21" t="n">
        <f aca="false">SUM(I33:I36)</f>
        <v>179.005053278473</v>
      </c>
      <c r="J37" s="21" t="n">
        <f aca="false">SUM(J33:J36)</f>
        <v>185.363517864003</v>
      </c>
      <c r="K37" s="21" t="n">
        <f aca="false">SUM(K33:K36)</f>
        <v>191.910178578563</v>
      </c>
    </row>
    <row r="38" customFormat="false" ht="15" hidden="false" customHeight="false" outlineLevel="0" collapsed="false">
      <c r="B38" s="20" t="s">
        <v>125</v>
      </c>
      <c r="C38" s="15" t="n">
        <f aca="false">Historical!C27</f>
        <v>120.805</v>
      </c>
      <c r="D38" s="15" t="n">
        <f aca="false">Historical!D27</f>
        <v>100.544</v>
      </c>
      <c r="E38" s="15" t="n">
        <f aca="false">Historical!E27</f>
        <v>91.479</v>
      </c>
      <c r="F38" s="15" t="n">
        <f aca="false">Historical!F27</f>
        <v>77.723</v>
      </c>
      <c r="G38" s="24" t="n">
        <f aca="false">F38+Inputs!C$110</f>
        <v>67.723</v>
      </c>
      <c r="H38" s="24" t="n">
        <f aca="false">G38+Inputs!D$110</f>
        <v>57.723</v>
      </c>
      <c r="I38" s="24" t="n">
        <f aca="false">H38+Inputs!E$110</f>
        <v>47.723</v>
      </c>
      <c r="J38" s="24" t="n">
        <f aca="false">I38+Inputs!F$110</f>
        <v>42.723</v>
      </c>
      <c r="K38" s="24" t="n">
        <f aca="false">J38+Inputs!G$110</f>
        <v>37.723</v>
      </c>
    </row>
    <row r="39" customFormat="false" ht="15" hidden="false" customHeight="false" outlineLevel="0" collapsed="false">
      <c r="B39" s="20" t="s">
        <v>185</v>
      </c>
      <c r="C39" s="15" t="n">
        <f aca="false">Historical!C28</f>
        <v>42.117</v>
      </c>
      <c r="D39" s="15" t="n">
        <f aca="false">Historical!D28</f>
        <v>43.715</v>
      </c>
      <c r="E39" s="15" t="n">
        <f aca="false">Historical!E28</f>
        <v>45.68</v>
      </c>
      <c r="F39" s="15" t="n">
        <f aca="false">Historical!F28</f>
        <v>49.834</v>
      </c>
      <c r="G39" s="24" t="n">
        <f aca="false">G87</f>
        <v>51.15739198</v>
      </c>
      <c r="H39" s="24" t="n">
        <f aca="false">H87</f>
        <v>52.546953559</v>
      </c>
      <c r="I39" s="24" t="n">
        <f aca="false">I87</f>
        <v>54.00599321695</v>
      </c>
      <c r="J39" s="24" t="n">
        <f aca="false">J87</f>
        <v>55.523394461218</v>
      </c>
      <c r="K39" s="24" t="n">
        <f aca="false">K87</f>
        <v>57.1014917552567</v>
      </c>
    </row>
    <row r="40" customFormat="false" ht="15" hidden="false" customHeight="false" outlineLevel="0" collapsed="false">
      <c r="B40" s="20" t="s">
        <v>186</v>
      </c>
      <c r="C40" s="15" t="n">
        <f aca="false">Historical!C29</f>
        <v>54.428</v>
      </c>
      <c r="D40" s="15" t="n">
        <f aca="false">Historical!D29</f>
        <v>64.758</v>
      </c>
      <c r="E40" s="15" t="n">
        <f aca="false">Historical!E29</f>
        <v>74.834</v>
      </c>
      <c r="F40" s="15" t="n">
        <f aca="false">Historical!F29</f>
        <v>83.727</v>
      </c>
      <c r="G40" s="24" t="n">
        <f aca="false">G7*Inputs!C$98</f>
        <v>88.226132</v>
      </c>
      <c r="H40" s="24" t="n">
        <f aca="false">H7*Inputs!D$98</f>
        <v>92.6374386</v>
      </c>
      <c r="I40" s="24" t="n">
        <f aca="false">I7*Inputs!E$98</f>
        <v>97.26931053</v>
      </c>
      <c r="J40" s="24" t="n">
        <f aca="false">J7*Inputs!F$98</f>
        <v>101.1600829512</v>
      </c>
      <c r="K40" s="24" t="n">
        <f aca="false">K7*Inputs!G$98</f>
        <v>105.206486269248</v>
      </c>
    </row>
    <row r="41" customFormat="false" ht="15" hidden="false" customHeight="false" outlineLevel="0" collapsed="false">
      <c r="B41" s="3" t="s">
        <v>128</v>
      </c>
      <c r="C41" s="21" t="n">
        <f aca="false">C37+C38+C39+C40</f>
        <v>352.755</v>
      </c>
      <c r="D41" s="21" t="n">
        <f aca="false">D37+D38+D39+D40</f>
        <v>352.583</v>
      </c>
      <c r="E41" s="21" t="n">
        <f aca="false">E37+E38+E39+E40</f>
        <v>364.98</v>
      </c>
      <c r="F41" s="21" t="n">
        <f aca="false">F37+F38+F39+F40</f>
        <v>359.241</v>
      </c>
      <c r="G41" s="21" t="n">
        <f aca="false">G37+G38+G39+G40</f>
        <v>365.997493622466</v>
      </c>
      <c r="H41" s="21" t="n">
        <f aca="false">H37+H38+H39+H40</f>
        <v>371.732680163425</v>
      </c>
      <c r="I41" s="21" t="n">
        <f aca="false">I37+I38+I39+I40</f>
        <v>378.003357025423</v>
      </c>
      <c r="J41" s="21" t="n">
        <f aca="false">J37+J38+J39+J40</f>
        <v>384.769995276421</v>
      </c>
      <c r="K41" s="21" t="n">
        <f aca="false">K37+K38+K39+K40</f>
        <v>391.941156603067</v>
      </c>
    </row>
    <row r="43" customFormat="false" ht="15" hidden="false" customHeight="false" outlineLevel="0" collapsed="false">
      <c r="B43" s="20" t="s">
        <v>129</v>
      </c>
      <c r="C43" s="15" t="n">
        <f aca="false">Historical!C32</f>
        <v>64.115</v>
      </c>
      <c r="D43" s="15" t="n">
        <f aca="false">Historical!D32</f>
        <v>62.611</v>
      </c>
      <c r="E43" s="15" t="n">
        <f aca="false">Historical!E32</f>
        <v>68.96</v>
      </c>
      <c r="F43" s="15" t="n">
        <f aca="false">Historical!F32</f>
        <v>69.86</v>
      </c>
      <c r="G43" s="24" t="n">
        <f aca="false">G9*Inputs!C$80/365</f>
        <v>73.6627773342466</v>
      </c>
      <c r="H43" s="24" t="n">
        <f aca="false">H9*Inputs!D$80/365</f>
        <v>77.0540448190685</v>
      </c>
      <c r="I43" s="24" t="n">
        <f aca="false">I9*Inputs!E$80/365</f>
        <v>80.600282109037</v>
      </c>
      <c r="J43" s="24" t="n">
        <f aca="false">J9*Inputs!F$80/365</f>
        <v>83.6649316188863</v>
      </c>
      <c r="K43" s="24" t="n">
        <f aca="false">K9*Inputs!G$80/365</f>
        <v>87.0115288836418</v>
      </c>
    </row>
    <row r="44" customFormat="false" ht="15" hidden="false" customHeight="false" outlineLevel="0" collapsed="false">
      <c r="B44" s="20" t="s">
        <v>130</v>
      </c>
      <c r="C44" s="15" t="n">
        <f aca="false">Historical!C33</f>
        <v>68.757</v>
      </c>
      <c r="D44" s="15" t="n">
        <f aca="false">Historical!D33</f>
        <v>66.89</v>
      </c>
      <c r="E44" s="15" t="n">
        <f aca="false">Historical!E33</f>
        <v>86.553</v>
      </c>
      <c r="F44" s="15" t="n">
        <f aca="false">Historical!F33</f>
        <v>75.442</v>
      </c>
      <c r="G44" s="24" t="n">
        <f aca="false">G7*Inputs!C$92</f>
        <v>79.4035188</v>
      </c>
      <c r="H44" s="24" t="n">
        <f aca="false">H7*Inputs!D$92</f>
        <v>83.37369474</v>
      </c>
      <c r="I44" s="24" t="n">
        <f aca="false">I7*Inputs!E$92</f>
        <v>87.542379477</v>
      </c>
      <c r="J44" s="24" t="n">
        <f aca="false">J7*Inputs!F$92</f>
        <v>91.04407465608</v>
      </c>
      <c r="K44" s="24" t="n">
        <f aca="false">K7*Inputs!G$92</f>
        <v>94.6858376423232</v>
      </c>
    </row>
    <row r="45" customFormat="false" ht="15" hidden="false" customHeight="false" outlineLevel="0" collapsed="false">
      <c r="B45" s="20" t="s">
        <v>131</v>
      </c>
      <c r="C45" s="15" t="n">
        <f aca="false">Historical!C34</f>
        <v>21.11</v>
      </c>
      <c r="D45" s="15" t="n">
        <f aca="false">Historical!D34</f>
        <v>15.807</v>
      </c>
      <c r="E45" s="15" t="n">
        <f aca="false">Historical!E34</f>
        <v>20.879</v>
      </c>
      <c r="F45" s="15" t="n">
        <f aca="false">Historical!F34</f>
        <v>20.329</v>
      </c>
      <c r="G45" s="24" t="n">
        <f aca="false">F45</f>
        <v>20.329</v>
      </c>
      <c r="H45" s="24" t="n">
        <f aca="false">G45</f>
        <v>20.329</v>
      </c>
      <c r="I45" s="24" t="n">
        <f aca="false">H45</f>
        <v>20.329</v>
      </c>
      <c r="J45" s="24" t="n">
        <f aca="false">I45</f>
        <v>20.329</v>
      </c>
      <c r="K45" s="24" t="n">
        <f aca="false">J45</f>
        <v>20.329</v>
      </c>
    </row>
    <row r="46" customFormat="false" ht="15" hidden="false" customHeight="false" outlineLevel="0" collapsed="false">
      <c r="B46" s="20" t="s">
        <v>187</v>
      </c>
      <c r="C46" s="24" t="n">
        <f aca="false">0</f>
        <v>0</v>
      </c>
      <c r="D46" s="24" t="n">
        <f aca="false">0</f>
        <v>0</v>
      </c>
      <c r="E46" s="24" t="n">
        <f aca="false">0</f>
        <v>0</v>
      </c>
      <c r="F46" s="24" t="n">
        <f aca="false">0</f>
        <v>0</v>
      </c>
      <c r="G46" s="24" t="n">
        <f aca="false">G97</f>
        <v>0</v>
      </c>
      <c r="H46" s="24" t="n">
        <f aca="false">H97</f>
        <v>0</v>
      </c>
      <c r="I46" s="24" t="n">
        <f aca="false">I97</f>
        <v>0</v>
      </c>
      <c r="J46" s="24" t="n">
        <f aca="false">J97</f>
        <v>0</v>
      </c>
      <c r="K46" s="24" t="n">
        <f aca="false">K97</f>
        <v>0</v>
      </c>
    </row>
    <row r="47" customFormat="false" ht="15" hidden="false" customHeight="false" outlineLevel="0" collapsed="false">
      <c r="B47" s="3" t="s">
        <v>132</v>
      </c>
      <c r="C47" s="21" t="n">
        <f aca="false">SUM(C43:C46)</f>
        <v>153.982</v>
      </c>
      <c r="D47" s="21" t="n">
        <f aca="false">SUM(D43:D46)</f>
        <v>145.308</v>
      </c>
      <c r="E47" s="21" t="n">
        <f aca="false">SUM(E43:E46)</f>
        <v>176.392</v>
      </c>
      <c r="F47" s="21" t="n">
        <f aca="false">SUM(F43:F46)</f>
        <v>165.631</v>
      </c>
      <c r="G47" s="21" t="n">
        <f aca="false">SUM(G43:G46)</f>
        <v>173.395296134247</v>
      </c>
      <c r="H47" s="21" t="n">
        <f aca="false">SUM(H43:H46)</f>
        <v>180.756739559069</v>
      </c>
      <c r="I47" s="21" t="n">
        <f aca="false">SUM(I43:I46)</f>
        <v>188.471661586037</v>
      </c>
      <c r="J47" s="21" t="n">
        <f aca="false">SUM(J43:J46)</f>
        <v>195.038006274966</v>
      </c>
      <c r="K47" s="21" t="n">
        <f aca="false">SUM(K43:K46)</f>
        <v>202.026366525965</v>
      </c>
    </row>
    <row r="48" customFormat="false" ht="15" hidden="false" customHeight="false" outlineLevel="0" collapsed="false">
      <c r="B48" s="20" t="s">
        <v>133</v>
      </c>
      <c r="C48" s="15" t="n">
        <f aca="false">Historical!C36</f>
        <v>98.959</v>
      </c>
      <c r="D48" s="15" t="n">
        <f aca="false">Historical!D36</f>
        <v>95.281</v>
      </c>
      <c r="E48" s="15" t="n">
        <f aca="false">Historical!E36</f>
        <v>85.75</v>
      </c>
      <c r="F48" s="15" t="n">
        <f aca="false">Historical!F36</f>
        <v>78.328</v>
      </c>
      <c r="G48" s="24" t="n">
        <f aca="false">G92</f>
        <v>73.328</v>
      </c>
      <c r="H48" s="24" t="n">
        <f aca="false">H92</f>
        <v>68.328</v>
      </c>
      <c r="I48" s="24" t="n">
        <f aca="false">I92</f>
        <v>63.328</v>
      </c>
      <c r="J48" s="24" t="n">
        <f aca="false">J92</f>
        <v>60.328</v>
      </c>
      <c r="K48" s="24" t="n">
        <f aca="false">K92</f>
        <v>57.328</v>
      </c>
    </row>
    <row r="49" customFormat="false" ht="15" hidden="false" customHeight="false" outlineLevel="0" collapsed="false">
      <c r="B49" s="20" t="s">
        <v>134</v>
      </c>
      <c r="C49" s="15" t="n">
        <f aca="false">Historical!C37</f>
        <v>49.142</v>
      </c>
      <c r="D49" s="15" t="n">
        <f aca="false">Historical!D37</f>
        <v>49.848</v>
      </c>
      <c r="E49" s="15" t="n">
        <f aca="false">Historical!E37</f>
        <v>45.888</v>
      </c>
      <c r="F49" s="15" t="n">
        <f aca="false">Historical!F37</f>
        <v>41.549</v>
      </c>
      <c r="G49" s="24" t="n">
        <f aca="false">G7*Inputs!C$104</f>
        <v>44.113066</v>
      </c>
      <c r="H49" s="24" t="n">
        <f aca="false">H7*Inputs!D$104</f>
        <v>46.3187193</v>
      </c>
      <c r="I49" s="24" t="n">
        <f aca="false">I7*Inputs!E$104</f>
        <v>48.634655265</v>
      </c>
      <c r="J49" s="24" t="n">
        <f aca="false">J7*Inputs!F$104</f>
        <v>50.5800414756</v>
      </c>
      <c r="K49" s="24" t="n">
        <f aca="false">K7*Inputs!G$104</f>
        <v>52.603243134624</v>
      </c>
    </row>
    <row r="50" customFormat="false" ht="15" hidden="false" customHeight="false" outlineLevel="0" collapsed="false">
      <c r="B50" s="3" t="s">
        <v>135</v>
      </c>
      <c r="C50" s="21" t="n">
        <f aca="false">C47+C48+C49</f>
        <v>302.083</v>
      </c>
      <c r="D50" s="21" t="n">
        <f aca="false">D47+D48+D49</f>
        <v>290.437</v>
      </c>
      <c r="E50" s="21" t="n">
        <f aca="false">E47+E48+E49</f>
        <v>308.03</v>
      </c>
      <c r="F50" s="21" t="n">
        <f aca="false">F47+F48+F49</f>
        <v>285.508</v>
      </c>
      <c r="G50" s="21" t="n">
        <f aca="false">G47+G48+G49</f>
        <v>290.836362134247</v>
      </c>
      <c r="H50" s="21" t="n">
        <f aca="false">H47+H48+H49</f>
        <v>295.403458859069</v>
      </c>
      <c r="I50" s="21" t="n">
        <f aca="false">I47+I48+I49</f>
        <v>300.434316851037</v>
      </c>
      <c r="J50" s="21" t="n">
        <f aca="false">J47+J48+J49</f>
        <v>305.946047750566</v>
      </c>
      <c r="K50" s="21" t="n">
        <f aca="false">K47+K48+K49</f>
        <v>311.957609660589</v>
      </c>
    </row>
    <row r="51" customFormat="false" ht="15" hidden="false" customHeight="false" outlineLevel="0" collapsed="false">
      <c r="B51" s="20" t="s">
        <v>136</v>
      </c>
      <c r="C51" s="15" t="n">
        <f aca="false">Historical!C39</f>
        <v>64.849</v>
      </c>
      <c r="D51" s="15" t="n">
        <f aca="false">Historical!D39</f>
        <v>73.812</v>
      </c>
      <c r="E51" s="15" t="n">
        <f aca="false">Historical!E39</f>
        <v>83.276</v>
      </c>
      <c r="F51" s="15" t="n">
        <f aca="false">Historical!F39</f>
        <v>93.568</v>
      </c>
      <c r="G51" s="24" t="n">
        <f aca="false">F51+G61</f>
        <v>107.24305046</v>
      </c>
      <c r="H51" s="24" t="n">
        <f aca="false">G51+H61</f>
        <v>121.601853443</v>
      </c>
      <c r="I51" s="24" t="n">
        <f aca="false">H51+I61</f>
        <v>136.67859657515</v>
      </c>
      <c r="J51" s="24" t="n">
        <f aca="false">I51+J61</f>
        <v>152.358409432586</v>
      </c>
      <c r="K51" s="24" t="n">
        <f aca="false">J51+K61</f>
        <v>168.665414804319</v>
      </c>
    </row>
    <row r="52" customFormat="false" ht="15" hidden="false" customHeight="false" outlineLevel="0" collapsed="false">
      <c r="B52" s="20" t="s">
        <v>137</v>
      </c>
      <c r="C52" s="15" t="n">
        <f aca="false">Historical!C40</f>
        <v>-3.068</v>
      </c>
      <c r="D52" s="15" t="n">
        <f aca="false">Historical!D40</f>
        <v>-0.214</v>
      </c>
      <c r="E52" s="15" t="n">
        <f aca="false">Historical!E40</f>
        <v>-19.154</v>
      </c>
      <c r="F52" s="15" t="n">
        <f aca="false">Historical!F40</f>
        <v>-14.264</v>
      </c>
      <c r="G52" s="24" t="n">
        <f aca="false">F52+G23-G73-G74</f>
        <v>-26.5109189717808</v>
      </c>
      <c r="H52" s="24" t="n">
        <f aca="false">G52+H23-H73-H74</f>
        <v>-39.7016321386438</v>
      </c>
      <c r="I52" s="24" t="n">
        <f aca="false">H52+I23-I73-I74</f>
        <v>-53.5385564007637</v>
      </c>
      <c r="J52" s="24" t="n">
        <f aca="false">I52+J23-J73-J74</f>
        <v>-67.9634619067319</v>
      </c>
      <c r="K52" s="24" t="n">
        <f aca="false">J52+K23-K73-K74</f>
        <v>-83.1108678618412</v>
      </c>
    </row>
    <row r="53" customFormat="false" ht="15" hidden="false" customHeight="false" outlineLevel="0" collapsed="false">
      <c r="B53" s="20" t="s">
        <v>138</v>
      </c>
      <c r="C53" s="15" t="n">
        <f aca="false">Historical!C41</f>
        <v>-11.109</v>
      </c>
      <c r="D53" s="15" t="n">
        <f aca="false">Historical!D41</f>
        <v>-11.452</v>
      </c>
      <c r="E53" s="15" t="n">
        <f aca="false">Historical!E41</f>
        <v>-7.172</v>
      </c>
      <c r="F53" s="15" t="n">
        <f aca="false">Historical!F41</f>
        <v>-5.571</v>
      </c>
      <c r="G53" s="24" t="n">
        <f aca="false">F53</f>
        <v>-5.571</v>
      </c>
      <c r="H53" s="24" t="n">
        <f aca="false">G53</f>
        <v>-5.571</v>
      </c>
      <c r="I53" s="24" t="n">
        <f aca="false">H53</f>
        <v>-5.571</v>
      </c>
      <c r="J53" s="24" t="n">
        <f aca="false">I53</f>
        <v>-5.571</v>
      </c>
      <c r="K53" s="24" t="n">
        <f aca="false">J53</f>
        <v>-5.571</v>
      </c>
    </row>
    <row r="54" customFormat="false" ht="15" hidden="false" customHeight="false" outlineLevel="0" collapsed="false">
      <c r="B54" s="3" t="s">
        <v>188</v>
      </c>
      <c r="C54" s="21" t="n">
        <f aca="false">C51+C52+C53</f>
        <v>50.672</v>
      </c>
      <c r="D54" s="21" t="n">
        <f aca="false">D51+D52+D53</f>
        <v>62.146</v>
      </c>
      <c r="E54" s="21" t="n">
        <f aca="false">E51+E52+E53</f>
        <v>56.95</v>
      </c>
      <c r="F54" s="21" t="n">
        <f aca="false">F51+F52+F53</f>
        <v>73.733</v>
      </c>
      <c r="G54" s="21" t="n">
        <f aca="false">G51+G52+G53</f>
        <v>75.1611314882192</v>
      </c>
      <c r="H54" s="21" t="n">
        <f aca="false">H51+H52+H53</f>
        <v>76.3292213043562</v>
      </c>
      <c r="I54" s="21" t="n">
        <f aca="false">I51+I52+I53</f>
        <v>77.5690401743863</v>
      </c>
      <c r="J54" s="21" t="n">
        <f aca="false">J51+J52+J53</f>
        <v>78.8239475258541</v>
      </c>
      <c r="K54" s="21" t="n">
        <f aca="false">K51+K52+K53</f>
        <v>79.9835469424783</v>
      </c>
    </row>
    <row r="55" customFormat="false" ht="15" hidden="false" customHeight="false" outlineLevel="0" collapsed="false">
      <c r="B55" s="3" t="s">
        <v>140</v>
      </c>
      <c r="C55" s="21" t="n">
        <f aca="false">C50+C54</f>
        <v>352.755</v>
      </c>
      <c r="D55" s="21" t="n">
        <f aca="false">D50+D54</f>
        <v>352.583</v>
      </c>
      <c r="E55" s="21" t="n">
        <f aca="false">E50+E54</f>
        <v>364.98</v>
      </c>
      <c r="F55" s="21" t="n">
        <f aca="false">F50+F54</f>
        <v>359.241</v>
      </c>
      <c r="G55" s="21" t="n">
        <f aca="false">G50+G54</f>
        <v>365.997493622466</v>
      </c>
      <c r="H55" s="21" t="n">
        <f aca="false">H50+H54</f>
        <v>371.732680163425</v>
      </c>
      <c r="I55" s="21" t="n">
        <f aca="false">I50+I54</f>
        <v>378.003357025423</v>
      </c>
      <c r="J55" s="21" t="n">
        <f aca="false">J50+J54</f>
        <v>384.76999527642</v>
      </c>
      <c r="K55" s="21" t="n">
        <f aca="false">K50+K54</f>
        <v>391.941156603067</v>
      </c>
    </row>
    <row r="56" customFormat="false" ht="15" hidden="false" customHeight="false" outlineLevel="0" collapsed="false">
      <c r="B56" s="20" t="s">
        <v>189</v>
      </c>
      <c r="C56" s="24" t="n">
        <f aca="false">ROUND(C41-C55,3)</f>
        <v>0</v>
      </c>
      <c r="D56" s="24" t="n">
        <f aca="false">ROUND(D41-D55,3)</f>
        <v>0</v>
      </c>
      <c r="E56" s="24" t="n">
        <f aca="false">ROUND(E41-E55,3)</f>
        <v>0</v>
      </c>
      <c r="F56" s="24" t="n">
        <f aca="false">ROUND(F41-F55,3)</f>
        <v>0</v>
      </c>
      <c r="G56" s="24" t="n">
        <f aca="false">ROUND(G41-G55,3)</f>
        <v>0</v>
      </c>
      <c r="H56" s="24" t="n">
        <f aca="false">ROUND(H41-H55,3)</f>
        <v>0</v>
      </c>
      <c r="I56" s="24" t="n">
        <f aca="false">ROUND(I41-I55,3)</f>
        <v>0</v>
      </c>
      <c r="J56" s="24" t="n">
        <f aca="false">ROUND(J41-J55,3)</f>
        <v>0</v>
      </c>
      <c r="K56" s="24" t="n">
        <f aca="false">ROUND(K41-K55,3)</f>
        <v>0</v>
      </c>
    </row>
    <row r="58" customFormat="false" ht="15" hidden="false" customHeight="false" outlineLevel="0" collapsed="false">
      <c r="B58" s="8" t="s">
        <v>190</v>
      </c>
      <c r="C58" s="19"/>
      <c r="D58" s="19"/>
      <c r="E58" s="19"/>
      <c r="F58" s="19"/>
      <c r="G58" s="19"/>
      <c r="H58" s="19"/>
      <c r="I58" s="19"/>
      <c r="J58" s="19"/>
      <c r="K58" s="19"/>
    </row>
    <row r="59" customFormat="false" ht="15" hidden="false" customHeight="false" outlineLevel="0" collapsed="false">
      <c r="B59" s="20" t="s">
        <v>94</v>
      </c>
      <c r="C59" s="19"/>
      <c r="D59" s="19"/>
      <c r="E59" s="19"/>
      <c r="F59" s="19"/>
      <c r="G59" s="24" t="n">
        <f aca="false">G23</f>
        <v>119.3661406531</v>
      </c>
      <c r="H59" s="24" t="n">
        <f aca="false">H23</f>
        <v>126.051586088065</v>
      </c>
      <c r="I59" s="24" t="n">
        <f aca="false">I23</f>
        <v>133.109979925394</v>
      </c>
      <c r="J59" s="24" t="n">
        <f aca="false">J23</f>
        <v>138.811615100731</v>
      </c>
      <c r="K59" s="24" t="n">
        <f aca="false">K23</f>
        <v>144.31897233676</v>
      </c>
    </row>
    <row r="60" customFormat="false" ht="15" hidden="false" customHeight="false" outlineLevel="0" collapsed="false">
      <c r="B60" s="20" t="s">
        <v>143</v>
      </c>
      <c r="C60" s="19"/>
      <c r="D60" s="19"/>
      <c r="E60" s="19"/>
      <c r="F60" s="19"/>
      <c r="G60" s="24" t="n">
        <f aca="false">G16</f>
        <v>12.35165848</v>
      </c>
      <c r="H60" s="24" t="n">
        <f aca="false">H16</f>
        <v>12.969241404</v>
      </c>
      <c r="I60" s="24" t="n">
        <f aca="false">I16</f>
        <v>13.6177034742</v>
      </c>
      <c r="J60" s="24" t="n">
        <f aca="false">J16</f>
        <v>14.162411613168</v>
      </c>
      <c r="K60" s="24" t="n">
        <f aca="false">K16</f>
        <v>14.7289080776947</v>
      </c>
    </row>
    <row r="61" customFormat="false" ht="15" hidden="false" customHeight="false" outlineLevel="0" collapsed="false">
      <c r="B61" s="20" t="s">
        <v>144</v>
      </c>
      <c r="C61" s="15" t="n">
        <f aca="false">Historical!C48</f>
        <v>9.038</v>
      </c>
      <c r="D61" s="15" t="n">
        <f aca="false">Historical!D48</f>
        <v>10.833</v>
      </c>
      <c r="E61" s="15" t="n">
        <f aca="false">Historical!E48</f>
        <v>11.688</v>
      </c>
      <c r="F61" s="15" t="n">
        <f aca="false">Historical!F48</f>
        <v>12.863</v>
      </c>
      <c r="G61" s="24" t="n">
        <f aca="false">G7*Inputs!C$62</f>
        <v>13.67505046</v>
      </c>
      <c r="H61" s="24" t="n">
        <f aca="false">H7*Inputs!D$62</f>
        <v>14.358802983</v>
      </c>
      <c r="I61" s="24" t="n">
        <f aca="false">I7*Inputs!E$62</f>
        <v>15.07674313215</v>
      </c>
      <c r="J61" s="24" t="n">
        <f aca="false">J7*Inputs!F$62</f>
        <v>15.679812857436</v>
      </c>
      <c r="K61" s="24" t="n">
        <f aca="false">K7*Inputs!G$62</f>
        <v>16.3070053717334</v>
      </c>
    </row>
    <row r="62" customFormat="false" ht="15" hidden="false" customHeight="false" outlineLevel="0" collapsed="false">
      <c r="B62" s="20" t="s">
        <v>191</v>
      </c>
      <c r="C62" s="19"/>
      <c r="D62" s="19"/>
      <c r="E62" s="19"/>
      <c r="F62" s="19"/>
      <c r="G62" s="24" t="n">
        <f aca="false">F34-G34</f>
        <v>-4.39193764383563</v>
      </c>
      <c r="H62" s="24" t="n">
        <f aca="false">G34-H34</f>
        <v>-3.86744688219177</v>
      </c>
      <c r="I62" s="24" t="n">
        <f aca="false">H34-I34</f>
        <v>-4.06081922630138</v>
      </c>
      <c r="J62" s="24" t="n">
        <f aca="false">I34-J34</f>
        <v>-3.41108815009315</v>
      </c>
      <c r="K62" s="24" t="n">
        <f aca="false">J34-K34</f>
        <v>-3.54753167609688</v>
      </c>
    </row>
    <row r="63" customFormat="false" ht="15" hidden="false" customHeight="false" outlineLevel="0" collapsed="false">
      <c r="B63" s="20" t="s">
        <v>192</v>
      </c>
      <c r="C63" s="19"/>
      <c r="D63" s="19"/>
      <c r="E63" s="19"/>
      <c r="F63" s="19"/>
      <c r="G63" s="24" t="n">
        <f aca="false">F35-G35</f>
        <v>-0.687458898630139</v>
      </c>
      <c r="H63" s="24" t="n">
        <f aca="false">G35-H35</f>
        <v>-0.294892824767122</v>
      </c>
      <c r="I63" s="24" t="n">
        <f aca="false">H35-I35</f>
        <v>-0.308368459997261</v>
      </c>
      <c r="J63" s="24" t="n">
        <f aca="false">I35-J35</f>
        <v>-0.266491261726029</v>
      </c>
      <c r="K63" s="24" t="n">
        <f aca="false">J35-K35</f>
        <v>-0.291008457804821</v>
      </c>
    </row>
    <row r="64" customFormat="false" ht="15" hidden="false" customHeight="false" outlineLevel="0" collapsed="false">
      <c r="B64" s="20" t="s">
        <v>193</v>
      </c>
      <c r="C64" s="19"/>
      <c r="D64" s="19"/>
      <c r="E64" s="19"/>
      <c r="F64" s="19"/>
      <c r="G64" s="24" t="n">
        <f aca="false">F36-G36</f>
        <v>-0.854573100000001</v>
      </c>
      <c r="H64" s="24" t="n">
        <f aca="false">G36-H36</f>
        <v>-0.771978655</v>
      </c>
      <c r="I64" s="24" t="n">
        <f aca="false">H36-I36</f>
        <v>-0.81057758775</v>
      </c>
      <c r="J64" s="24" t="n">
        <f aca="false">I36-J36</f>
        <v>-0.680885173710003</v>
      </c>
      <c r="K64" s="24" t="n">
        <f aca="false">J36-K36</f>
        <v>-0.708120580658399</v>
      </c>
    </row>
    <row r="65" customFormat="false" ht="15" hidden="false" customHeight="false" outlineLevel="0" collapsed="false">
      <c r="B65" s="20" t="s">
        <v>194</v>
      </c>
      <c r="C65" s="19"/>
      <c r="D65" s="19"/>
      <c r="E65" s="19"/>
      <c r="F65" s="19"/>
      <c r="G65" s="24" t="n">
        <f aca="false">F40-G40</f>
        <v>-4.499132</v>
      </c>
      <c r="H65" s="24" t="n">
        <f aca="false">G40-H40</f>
        <v>-4.4113066</v>
      </c>
      <c r="I65" s="24" t="n">
        <f aca="false">H40-I40</f>
        <v>-4.63187193</v>
      </c>
      <c r="J65" s="24" t="n">
        <f aca="false">I40-J40</f>
        <v>-3.89077242120001</v>
      </c>
      <c r="K65" s="24" t="n">
        <f aca="false">J40-K40</f>
        <v>-4.04640331804799</v>
      </c>
    </row>
    <row r="66" customFormat="false" ht="15" hidden="false" customHeight="false" outlineLevel="0" collapsed="false">
      <c r="B66" s="20" t="s">
        <v>195</v>
      </c>
      <c r="C66" s="19"/>
      <c r="D66" s="19"/>
      <c r="E66" s="19"/>
      <c r="F66" s="19"/>
      <c r="G66" s="24" t="n">
        <f aca="false">G43-F43</f>
        <v>3.8027773342466</v>
      </c>
      <c r="H66" s="24" t="n">
        <f aca="false">H43-G43</f>
        <v>3.3912674848219</v>
      </c>
      <c r="I66" s="24" t="n">
        <f aca="false">I43-H43</f>
        <v>3.5462372899685</v>
      </c>
      <c r="J66" s="24" t="n">
        <f aca="false">J43-I43</f>
        <v>3.06464950984932</v>
      </c>
      <c r="K66" s="24" t="n">
        <f aca="false">K43-J43</f>
        <v>3.34659726475546</v>
      </c>
    </row>
    <row r="67" customFormat="false" ht="15" hidden="false" customHeight="false" outlineLevel="0" collapsed="false">
      <c r="B67" s="20" t="s">
        <v>196</v>
      </c>
      <c r="C67" s="19"/>
      <c r="D67" s="19"/>
      <c r="E67" s="19"/>
      <c r="F67" s="19"/>
      <c r="G67" s="24" t="n">
        <f aca="false">G44-F44</f>
        <v>3.96151880000001</v>
      </c>
      <c r="H67" s="24" t="n">
        <f aca="false">H44-G44</f>
        <v>3.97017594</v>
      </c>
      <c r="I67" s="24" t="n">
        <f aca="false">I44-H44</f>
        <v>4.16868473699999</v>
      </c>
      <c r="J67" s="24" t="n">
        <f aca="false">J44-I44</f>
        <v>3.50169517908002</v>
      </c>
      <c r="K67" s="24" t="n">
        <f aca="false">K44-J44</f>
        <v>3.64176298624319</v>
      </c>
    </row>
    <row r="68" customFormat="false" ht="15" hidden="false" customHeight="false" outlineLevel="0" collapsed="false">
      <c r="B68" s="20" t="s">
        <v>197</v>
      </c>
      <c r="C68" s="19"/>
      <c r="D68" s="19"/>
      <c r="E68" s="19"/>
      <c r="F68" s="19"/>
      <c r="G68" s="24" t="n">
        <f aca="false">G49-F49</f>
        <v>2.564066</v>
      </c>
      <c r="H68" s="24" t="n">
        <f aca="false">H49-G49</f>
        <v>2.2056533</v>
      </c>
      <c r="I68" s="24" t="n">
        <f aca="false">I49-H49</f>
        <v>2.315935965</v>
      </c>
      <c r="J68" s="24" t="n">
        <f aca="false">J49-I49</f>
        <v>1.94538621060001</v>
      </c>
      <c r="K68" s="24" t="n">
        <f aca="false">K49-J49</f>
        <v>2.023201659024</v>
      </c>
    </row>
    <row r="69" customFormat="false" ht="15" hidden="false" customHeight="false" outlineLevel="0" collapsed="false">
      <c r="B69" s="3" t="s">
        <v>198</v>
      </c>
      <c r="C69" s="27" t="n">
        <f aca="false">Historical!C54</f>
        <v>122.151</v>
      </c>
      <c r="D69" s="27" t="n">
        <f aca="false">Historical!D54</f>
        <v>110.543</v>
      </c>
      <c r="E69" s="27" t="n">
        <f aca="false">Historical!E54</f>
        <v>118.254</v>
      </c>
      <c r="F69" s="27" t="n">
        <f aca="false">Historical!F54</f>
        <v>111.482</v>
      </c>
      <c r="G69" s="21" t="n">
        <f aca="false">SUM(G59:G68)</f>
        <v>145.288110084881</v>
      </c>
      <c r="H69" s="21" t="n">
        <f aca="false">SUM(H59:H68)</f>
        <v>153.601102237928</v>
      </c>
      <c r="I69" s="21" t="n">
        <f aca="false">SUM(I59:I68)</f>
        <v>162.023647319664</v>
      </c>
      <c r="J69" s="21" t="n">
        <f aca="false">SUM(J59:J68)</f>
        <v>168.916333464135</v>
      </c>
      <c r="K69" s="21" t="n">
        <f aca="false">SUM(K59:K68)</f>
        <v>175.773383663603</v>
      </c>
    </row>
    <row r="70" customFormat="false" ht="15" hidden="false" customHeight="false" outlineLevel="0" collapsed="false">
      <c r="B70" s="20" t="s">
        <v>145</v>
      </c>
      <c r="C70" s="24" t="n">
        <f aca="false">-Historical!C49</f>
        <v>-10.708</v>
      </c>
      <c r="D70" s="24" t="n">
        <f aca="false">-Historical!D49</f>
        <v>-10.959</v>
      </c>
      <c r="E70" s="24" t="n">
        <f aca="false">-Historical!E49</f>
        <v>-9.447</v>
      </c>
      <c r="F70" s="24" t="n">
        <f aca="false">-Historical!F49</f>
        <v>-12.715</v>
      </c>
      <c r="G70" s="24" t="n">
        <f aca="false">-G7*Inputs!C$56</f>
        <v>-13.67505046</v>
      </c>
      <c r="H70" s="24" t="n">
        <f aca="false">-H7*Inputs!D$56</f>
        <v>-14.358802983</v>
      </c>
      <c r="I70" s="24" t="n">
        <f aca="false">-I7*Inputs!E$56</f>
        <v>-15.07674313215</v>
      </c>
      <c r="J70" s="24" t="n">
        <f aca="false">-J7*Inputs!F$56</f>
        <v>-15.679812857436</v>
      </c>
      <c r="K70" s="24" t="n">
        <f aca="false">-K7*Inputs!G$56</f>
        <v>-16.3070053717334</v>
      </c>
    </row>
    <row r="71" customFormat="false" ht="15" hidden="false" customHeight="false" outlineLevel="0" collapsed="false">
      <c r="B71" s="20" t="s">
        <v>199</v>
      </c>
      <c r="C71" s="19"/>
      <c r="D71" s="19"/>
      <c r="E71" s="19"/>
      <c r="F71" s="19"/>
      <c r="G71" s="24" t="n">
        <f aca="false">F38-G38</f>
        <v>10</v>
      </c>
      <c r="H71" s="24" t="n">
        <f aca="false">G38-H38</f>
        <v>10</v>
      </c>
      <c r="I71" s="24" t="n">
        <f aca="false">H38-I38</f>
        <v>10</v>
      </c>
      <c r="J71" s="24" t="n">
        <f aca="false">I38-J38</f>
        <v>5</v>
      </c>
      <c r="K71" s="24" t="n">
        <f aca="false">J38-K38</f>
        <v>5</v>
      </c>
    </row>
    <row r="72" customFormat="false" ht="15" hidden="false" customHeight="false" outlineLevel="0" collapsed="false">
      <c r="B72" s="3" t="s">
        <v>200</v>
      </c>
      <c r="C72" s="27" t="n">
        <f aca="false">Historical!C55</f>
        <v>-22.354</v>
      </c>
      <c r="D72" s="27" t="n">
        <f aca="false">Historical!D55</f>
        <v>3.705</v>
      </c>
      <c r="E72" s="27" t="n">
        <f aca="false">Historical!E55</f>
        <v>2.935</v>
      </c>
      <c r="F72" s="27" t="n">
        <f aca="false">Historical!F55</f>
        <v>15.195</v>
      </c>
      <c r="G72" s="21" t="n">
        <f aca="false">G70+G71</f>
        <v>-3.67505046</v>
      </c>
      <c r="H72" s="21" t="n">
        <f aca="false">H70+H71</f>
        <v>-4.358802983</v>
      </c>
      <c r="I72" s="21" t="n">
        <f aca="false">I70+I71</f>
        <v>-5.07674313215</v>
      </c>
      <c r="J72" s="21" t="n">
        <f aca="false">J70+J71</f>
        <v>-10.679812857436</v>
      </c>
      <c r="K72" s="21" t="n">
        <f aca="false">K70+K71</f>
        <v>-11.3070053717334</v>
      </c>
    </row>
    <row r="73" customFormat="false" ht="15" hidden="false" customHeight="false" outlineLevel="0" collapsed="false">
      <c r="B73" s="20" t="s">
        <v>146</v>
      </c>
      <c r="C73" s="24" t="n">
        <f aca="false">Historical!C50</f>
        <v>14.841</v>
      </c>
      <c r="D73" s="24" t="n">
        <f aca="false">Historical!D50</f>
        <v>15.025</v>
      </c>
      <c r="E73" s="24" t="n">
        <f aca="false">Historical!E50</f>
        <v>15.234</v>
      </c>
      <c r="F73" s="24" t="n">
        <f aca="false">Historical!F50</f>
        <v>15.421</v>
      </c>
      <c r="G73" s="24" t="n">
        <f aca="false">Inputs!C$116</f>
        <v>15.8</v>
      </c>
      <c r="H73" s="24" t="n">
        <f aca="false">Inputs!D$116</f>
        <v>16.2</v>
      </c>
      <c r="I73" s="24" t="n">
        <f aca="false">Inputs!E$116</f>
        <v>16.6</v>
      </c>
      <c r="J73" s="24" t="n">
        <f aca="false">Inputs!F$116</f>
        <v>17</v>
      </c>
      <c r="K73" s="24" t="n">
        <f aca="false">Inputs!G$116</f>
        <v>17.4</v>
      </c>
    </row>
    <row r="74" customFormat="false" ht="15" hidden="false" customHeight="false" outlineLevel="0" collapsed="false">
      <c r="B74" s="20" t="s">
        <v>147</v>
      </c>
      <c r="C74" s="24" t="n">
        <f aca="false">Historical!C51</f>
        <v>89.402</v>
      </c>
      <c r="D74" s="24" t="n">
        <f aca="false">Historical!D51</f>
        <v>77.55</v>
      </c>
      <c r="E74" s="24" t="n">
        <f aca="false">Historical!E51</f>
        <v>94.949</v>
      </c>
      <c r="F74" s="24" t="n">
        <f aca="false">Historical!F51</f>
        <v>90.711</v>
      </c>
      <c r="G74" s="24" t="n">
        <f aca="false">MAX(0,(G100-G73)*Inputs!C$122)</f>
        <v>115.813059624881</v>
      </c>
      <c r="H74" s="24" t="n">
        <f aca="false">MAX(0,(H100-H73)*Inputs!D$122)</f>
        <v>123.042299254928</v>
      </c>
      <c r="I74" s="24" t="n">
        <f aca="false">MAX(0,(I100-I73)*Inputs!E$122)</f>
        <v>130.346904187514</v>
      </c>
      <c r="J74" s="24" t="n">
        <f aca="false">MAX(0,(J100-J73)*Inputs!F$122)</f>
        <v>136.236520606699</v>
      </c>
      <c r="K74" s="24" t="n">
        <f aca="false">MAX(0,(K100-K73)*Inputs!G$122)</f>
        <v>142.066378291869</v>
      </c>
    </row>
    <row r="75" customFormat="false" ht="15" hidden="false" customHeight="false" outlineLevel="0" collapsed="false">
      <c r="B75" s="20" t="s">
        <v>201</v>
      </c>
      <c r="C75" s="19"/>
      <c r="D75" s="19"/>
      <c r="E75" s="19"/>
      <c r="F75" s="19"/>
      <c r="G75" s="24" t="n">
        <f aca="false">Inputs!C$134</f>
        <v>5</v>
      </c>
      <c r="H75" s="24" t="n">
        <f aca="false">Inputs!D$134</f>
        <v>5</v>
      </c>
      <c r="I75" s="24" t="n">
        <f aca="false">Inputs!E$134</f>
        <v>5</v>
      </c>
      <c r="J75" s="24" t="n">
        <f aca="false">Inputs!F$134</f>
        <v>5</v>
      </c>
      <c r="K75" s="24" t="n">
        <f aca="false">Inputs!G$134</f>
        <v>5</v>
      </c>
    </row>
    <row r="76" customFormat="false" ht="15" hidden="false" customHeight="false" outlineLevel="0" collapsed="false">
      <c r="B76" s="20" t="s">
        <v>202</v>
      </c>
      <c r="C76" s="19"/>
      <c r="D76" s="19"/>
      <c r="E76" s="19"/>
      <c r="F76" s="19"/>
      <c r="G76" s="24" t="n">
        <f aca="false">Inputs!C$128</f>
        <v>10</v>
      </c>
      <c r="H76" s="24" t="n">
        <f aca="false">Inputs!D$128</f>
        <v>10</v>
      </c>
      <c r="I76" s="24" t="n">
        <f aca="false">Inputs!E$128</f>
        <v>10</v>
      </c>
      <c r="J76" s="24" t="n">
        <f aca="false">Inputs!F$128</f>
        <v>8</v>
      </c>
      <c r="K76" s="24" t="n">
        <f aca="false">Inputs!G$128</f>
        <v>8</v>
      </c>
    </row>
    <row r="77" customFormat="false" ht="15" hidden="false" customHeight="false" outlineLevel="0" collapsed="false">
      <c r="B77" s="20" t="s">
        <v>203</v>
      </c>
      <c r="C77" s="19"/>
      <c r="D77" s="19"/>
      <c r="E77" s="19"/>
      <c r="F77" s="19"/>
      <c r="G77" s="24" t="n">
        <f aca="false">G97-F46</f>
        <v>0</v>
      </c>
      <c r="H77" s="24" t="n">
        <f aca="false">H97-G46</f>
        <v>0</v>
      </c>
      <c r="I77" s="24" t="n">
        <f aca="false">I97-H46</f>
        <v>0</v>
      </c>
      <c r="J77" s="24" t="n">
        <f aca="false">J97-I46</f>
        <v>0</v>
      </c>
      <c r="K77" s="24" t="n">
        <f aca="false">K97-J46</f>
        <v>0</v>
      </c>
    </row>
    <row r="78" customFormat="false" ht="15" hidden="false" customHeight="false" outlineLevel="0" collapsed="false">
      <c r="B78" s="3" t="s">
        <v>204</v>
      </c>
      <c r="C78" s="27" t="n">
        <f aca="false">Historical!C56</f>
        <v>-110.749</v>
      </c>
      <c r="D78" s="27" t="n">
        <f aca="false">Historical!D56</f>
        <v>-108.488</v>
      </c>
      <c r="E78" s="27" t="n">
        <f aca="false">Historical!E56</f>
        <v>-121.983</v>
      </c>
      <c r="F78" s="27" t="n">
        <f aca="false">Historical!F56</f>
        <v>-120.686</v>
      </c>
      <c r="G78" s="21" t="n">
        <f aca="false">-G73-G74+G75-G76+G77</f>
        <v>-136.613059624881</v>
      </c>
      <c r="H78" s="21" t="n">
        <f aca="false">-H73-H74+H75-H76+H77</f>
        <v>-144.242299254928</v>
      </c>
      <c r="I78" s="21" t="n">
        <f aca="false">-I73-I74+I75-I76+I77</f>
        <v>-151.946904187514</v>
      </c>
      <c r="J78" s="21" t="n">
        <f aca="false">-J73-J74+J75-J76+J77</f>
        <v>-156.236520606699</v>
      </c>
      <c r="K78" s="21" t="n">
        <f aca="false">-K73-K74+K75-K76+K77</f>
        <v>-162.466378291869</v>
      </c>
    </row>
    <row r="79" customFormat="false" ht="15" hidden="false" customHeight="false" outlineLevel="0" collapsed="false">
      <c r="B79" s="20" t="s">
        <v>205</v>
      </c>
      <c r="C79" s="24" t="n">
        <f aca="false">C69+C72+C78</f>
        <v>-10.952</v>
      </c>
      <c r="D79" s="24" t="n">
        <f aca="false">D69+D72+D78</f>
        <v>5.76000000000001</v>
      </c>
      <c r="E79" s="24" t="n">
        <f aca="false">E69+E72+E78</f>
        <v>-0.793999999999997</v>
      </c>
      <c r="F79" s="24" t="n">
        <f aca="false">F69+F72+F78</f>
        <v>5.99099999999999</v>
      </c>
      <c r="G79" s="24" t="n">
        <f aca="false">G69+G72+G78</f>
        <v>5</v>
      </c>
      <c r="H79" s="24" t="n">
        <f aca="false">H69+H72+H78</f>
        <v>5</v>
      </c>
      <c r="I79" s="24" t="n">
        <f aca="false">I69+I72+I78</f>
        <v>5</v>
      </c>
      <c r="J79" s="24" t="n">
        <f aca="false">J69+J72+J78</f>
        <v>2</v>
      </c>
      <c r="K79" s="24" t="n">
        <f aca="false">K69+K72+K78</f>
        <v>2</v>
      </c>
    </row>
    <row r="80" customFormat="false" ht="15" hidden="false" customHeight="false" outlineLevel="0" collapsed="false">
      <c r="B80" s="20" t="s">
        <v>206</v>
      </c>
      <c r="C80" s="19"/>
      <c r="D80" s="19"/>
      <c r="E80" s="19"/>
      <c r="F80" s="19"/>
      <c r="G80" s="24" t="n">
        <f aca="false">F33</f>
        <v>54.697</v>
      </c>
      <c r="H80" s="24" t="n">
        <f aca="false">G33</f>
        <v>59.697</v>
      </c>
      <c r="I80" s="24" t="n">
        <f aca="false">H33</f>
        <v>64.697</v>
      </c>
      <c r="J80" s="24" t="n">
        <f aca="false">I33</f>
        <v>69.697</v>
      </c>
      <c r="K80" s="24" t="n">
        <f aca="false">J33</f>
        <v>71.697</v>
      </c>
    </row>
    <row r="81" customFormat="false" ht="15" hidden="false" customHeight="false" outlineLevel="0" collapsed="false">
      <c r="B81" s="3" t="s">
        <v>207</v>
      </c>
      <c r="C81" s="28"/>
      <c r="D81" s="28"/>
      <c r="E81" s="28"/>
      <c r="F81" s="28"/>
      <c r="G81" s="21" t="n">
        <f aca="false">G80+G79</f>
        <v>59.697</v>
      </c>
      <c r="H81" s="21" t="n">
        <f aca="false">H80+H79</f>
        <v>64.697</v>
      </c>
      <c r="I81" s="21" t="n">
        <f aca="false">I80+I79</f>
        <v>69.697</v>
      </c>
      <c r="J81" s="21" t="n">
        <f aca="false">J80+J79</f>
        <v>71.697</v>
      </c>
      <c r="K81" s="21" t="n">
        <f aca="false">K80+K79</f>
        <v>73.697</v>
      </c>
    </row>
    <row r="83" customFormat="false" ht="15" hidden="false" customHeight="false" outlineLevel="0" collapsed="false">
      <c r="B83" s="8" t="s">
        <v>208</v>
      </c>
      <c r="C83" s="19"/>
      <c r="D83" s="19"/>
      <c r="E83" s="19"/>
      <c r="F83" s="19"/>
      <c r="G83" s="19"/>
      <c r="H83" s="19"/>
      <c r="I83" s="19"/>
      <c r="J83" s="19"/>
      <c r="K83" s="19"/>
    </row>
    <row r="84" customFormat="false" ht="15" hidden="false" customHeight="false" outlineLevel="0" collapsed="false">
      <c r="B84" s="20" t="s">
        <v>209</v>
      </c>
      <c r="C84" s="19"/>
      <c r="D84" s="19"/>
      <c r="E84" s="19"/>
      <c r="F84" s="19"/>
      <c r="G84" s="24" t="n">
        <f aca="false">F39</f>
        <v>49.834</v>
      </c>
      <c r="H84" s="24" t="n">
        <f aca="false">G39</f>
        <v>51.15739198</v>
      </c>
      <c r="I84" s="24" t="n">
        <f aca="false">H39</f>
        <v>52.546953559</v>
      </c>
      <c r="J84" s="24" t="n">
        <f aca="false">I39</f>
        <v>54.00599321695</v>
      </c>
      <c r="K84" s="24" t="n">
        <f aca="false">J39</f>
        <v>55.523394461218</v>
      </c>
    </row>
    <row r="85" customFormat="false" ht="15" hidden="false" customHeight="false" outlineLevel="0" collapsed="false">
      <c r="B85" s="20" t="s">
        <v>210</v>
      </c>
      <c r="C85" s="19"/>
      <c r="D85" s="19"/>
      <c r="E85" s="19"/>
      <c r="F85" s="19"/>
      <c r="G85" s="24" t="n">
        <f aca="false">-G70</f>
        <v>13.67505046</v>
      </c>
      <c r="H85" s="24" t="n">
        <f aca="false">-H70</f>
        <v>14.358802983</v>
      </c>
      <c r="I85" s="24" t="n">
        <f aca="false">-I70</f>
        <v>15.07674313215</v>
      </c>
      <c r="J85" s="24" t="n">
        <f aca="false">-J70</f>
        <v>15.679812857436</v>
      </c>
      <c r="K85" s="24" t="n">
        <f aca="false">-K70</f>
        <v>16.3070053717334</v>
      </c>
    </row>
    <row r="86" customFormat="false" ht="15" hidden="false" customHeight="false" outlineLevel="0" collapsed="false">
      <c r="B86" s="20" t="s">
        <v>211</v>
      </c>
      <c r="C86" s="19"/>
      <c r="D86" s="19"/>
      <c r="E86" s="19"/>
      <c r="F86" s="19"/>
      <c r="G86" s="24" t="n">
        <f aca="false">-G16</f>
        <v>-12.35165848</v>
      </c>
      <c r="H86" s="24" t="n">
        <f aca="false">-H16</f>
        <v>-12.969241404</v>
      </c>
      <c r="I86" s="24" t="n">
        <f aca="false">-I16</f>
        <v>-13.6177034742</v>
      </c>
      <c r="J86" s="24" t="n">
        <f aca="false">-J16</f>
        <v>-14.162411613168</v>
      </c>
      <c r="K86" s="24" t="n">
        <f aca="false">-K16</f>
        <v>-14.7289080776947</v>
      </c>
    </row>
    <row r="87" customFormat="false" ht="15" hidden="false" customHeight="false" outlineLevel="0" collapsed="false">
      <c r="B87" s="3" t="s">
        <v>212</v>
      </c>
      <c r="C87" s="28"/>
      <c r="D87" s="28"/>
      <c r="E87" s="28"/>
      <c r="F87" s="28"/>
      <c r="G87" s="21" t="n">
        <f aca="false">SUM(G84:G86)</f>
        <v>51.15739198</v>
      </c>
      <c r="H87" s="21" t="n">
        <f aca="false">SUM(H84:H86)</f>
        <v>52.546953559</v>
      </c>
      <c r="I87" s="21" t="n">
        <f aca="false">SUM(I84:I86)</f>
        <v>54.00599321695</v>
      </c>
      <c r="J87" s="21" t="n">
        <f aca="false">SUM(J84:J86)</f>
        <v>55.523394461218</v>
      </c>
      <c r="K87" s="21" t="n">
        <f aca="false">SUM(K84:K86)</f>
        <v>57.1014917552567</v>
      </c>
    </row>
    <row r="89" customFormat="false" ht="15" hidden="false" customHeight="false" outlineLevel="0" collapsed="false">
      <c r="B89" s="20" t="s">
        <v>213</v>
      </c>
      <c r="C89" s="19"/>
      <c r="D89" s="19"/>
      <c r="E89" s="19"/>
      <c r="F89" s="19"/>
      <c r="G89" s="24" t="n">
        <f aca="false">F48</f>
        <v>78.328</v>
      </c>
      <c r="H89" s="24" t="n">
        <f aca="false">G48</f>
        <v>73.328</v>
      </c>
      <c r="I89" s="24" t="n">
        <f aca="false">H48</f>
        <v>68.328</v>
      </c>
      <c r="J89" s="24" t="n">
        <f aca="false">I48</f>
        <v>63.328</v>
      </c>
      <c r="K89" s="24" t="n">
        <f aca="false">J48</f>
        <v>60.328</v>
      </c>
    </row>
    <row r="90" customFormat="false" ht="15" hidden="false" customHeight="false" outlineLevel="0" collapsed="false">
      <c r="B90" s="20" t="s">
        <v>214</v>
      </c>
      <c r="C90" s="19"/>
      <c r="D90" s="19"/>
      <c r="E90" s="19"/>
      <c r="F90" s="19"/>
      <c r="G90" s="24" t="n">
        <f aca="false">G75</f>
        <v>5</v>
      </c>
      <c r="H90" s="24" t="n">
        <f aca="false">H75</f>
        <v>5</v>
      </c>
      <c r="I90" s="24" t="n">
        <f aca="false">I75</f>
        <v>5</v>
      </c>
      <c r="J90" s="24" t="n">
        <f aca="false">J75</f>
        <v>5</v>
      </c>
      <c r="K90" s="24" t="n">
        <f aca="false">K75</f>
        <v>5</v>
      </c>
    </row>
    <row r="91" customFormat="false" ht="15" hidden="false" customHeight="false" outlineLevel="0" collapsed="false">
      <c r="B91" s="20" t="s">
        <v>215</v>
      </c>
      <c r="C91" s="19"/>
      <c r="D91" s="19"/>
      <c r="E91" s="19"/>
      <c r="F91" s="19"/>
      <c r="G91" s="24" t="n">
        <f aca="false">-G76</f>
        <v>-10</v>
      </c>
      <c r="H91" s="24" t="n">
        <f aca="false">-H76</f>
        <v>-10</v>
      </c>
      <c r="I91" s="24" t="n">
        <f aca="false">-I76</f>
        <v>-10</v>
      </c>
      <c r="J91" s="24" t="n">
        <f aca="false">-J76</f>
        <v>-8</v>
      </c>
      <c r="K91" s="24" t="n">
        <f aca="false">-K76</f>
        <v>-8</v>
      </c>
    </row>
    <row r="92" customFormat="false" ht="15" hidden="false" customHeight="false" outlineLevel="0" collapsed="false">
      <c r="B92" s="3" t="s">
        <v>216</v>
      </c>
      <c r="C92" s="28"/>
      <c r="D92" s="28"/>
      <c r="E92" s="28"/>
      <c r="F92" s="28"/>
      <c r="G92" s="21" t="n">
        <f aca="false">SUM(G89:G91)</f>
        <v>73.328</v>
      </c>
      <c r="H92" s="21" t="n">
        <f aca="false">SUM(H89:H91)</f>
        <v>68.328</v>
      </c>
      <c r="I92" s="21" t="n">
        <f aca="false">SUM(I89:I91)</f>
        <v>63.328</v>
      </c>
      <c r="J92" s="21" t="n">
        <f aca="false">SUM(J89:J91)</f>
        <v>60.328</v>
      </c>
      <c r="K92" s="21" t="n">
        <f aca="false">SUM(K89:K91)</f>
        <v>57.328</v>
      </c>
    </row>
    <row r="94" customFormat="false" ht="15" hidden="false" customHeight="false" outlineLevel="0" collapsed="false">
      <c r="B94" s="20" t="s">
        <v>217</v>
      </c>
      <c r="C94" s="19"/>
      <c r="D94" s="19"/>
      <c r="E94" s="19"/>
      <c r="F94" s="19"/>
      <c r="G94" s="24" t="n">
        <f aca="false">F46</f>
        <v>0</v>
      </c>
      <c r="H94" s="24" t="n">
        <f aca="false">G46</f>
        <v>0</v>
      </c>
      <c r="I94" s="24" t="n">
        <f aca="false">H46</f>
        <v>0</v>
      </c>
      <c r="J94" s="24" t="n">
        <f aca="false">I46</f>
        <v>0</v>
      </c>
      <c r="K94" s="24" t="n">
        <f aca="false">J46</f>
        <v>0</v>
      </c>
    </row>
    <row r="95" customFormat="false" ht="15" hidden="false" customHeight="false" outlineLevel="0" collapsed="false">
      <c r="B95" s="20" t="s">
        <v>218</v>
      </c>
      <c r="C95" s="19"/>
      <c r="D95" s="19"/>
      <c r="E95" s="19"/>
      <c r="F95" s="19"/>
      <c r="G95" s="24" t="n">
        <f aca="false">G80+G69+G72-G73-G74+G75-G76</f>
        <v>59.697</v>
      </c>
      <c r="H95" s="24" t="n">
        <f aca="false">H80+H69+H72-H73-H74+H75-H76</f>
        <v>64.697</v>
      </c>
      <c r="I95" s="24" t="n">
        <f aca="false">I80+I69+I72-I73-I74+I75-I76</f>
        <v>69.697</v>
      </c>
      <c r="J95" s="24" t="n">
        <f aca="false">J80+J69+J72-J73-J74+J75-J76</f>
        <v>71.697</v>
      </c>
      <c r="K95" s="24" t="n">
        <f aca="false">K80+K69+K72-K73-K74+K75-K76</f>
        <v>73.697</v>
      </c>
    </row>
    <row r="96" customFormat="false" ht="15" hidden="false" customHeight="false" outlineLevel="0" collapsed="false">
      <c r="B96" s="20" t="s">
        <v>219</v>
      </c>
      <c r="C96" s="19"/>
      <c r="D96" s="19"/>
      <c r="E96" s="19"/>
      <c r="F96" s="19"/>
      <c r="G96" s="24" t="n">
        <f aca="false">Inputs!$C$11</f>
        <v>25</v>
      </c>
      <c r="H96" s="24" t="n">
        <f aca="false">Inputs!$C$11</f>
        <v>25</v>
      </c>
      <c r="I96" s="24" t="n">
        <f aca="false">Inputs!$C$11</f>
        <v>25</v>
      </c>
      <c r="J96" s="24" t="n">
        <f aca="false">Inputs!$C$11</f>
        <v>25</v>
      </c>
      <c r="K96" s="24" t="n">
        <f aca="false">Inputs!$C$11</f>
        <v>25</v>
      </c>
    </row>
    <row r="97" customFormat="false" ht="15" hidden="false" customHeight="false" outlineLevel="0" collapsed="false">
      <c r="B97" s="3" t="s">
        <v>220</v>
      </c>
      <c r="C97" s="28"/>
      <c r="D97" s="28"/>
      <c r="E97" s="28"/>
      <c r="F97" s="28"/>
      <c r="G97" s="21" t="n">
        <f aca="false">MAX(0,G94+G96-G95)</f>
        <v>0</v>
      </c>
      <c r="H97" s="21" t="n">
        <f aca="false">MAX(0,H94+H96-H95)</f>
        <v>0</v>
      </c>
      <c r="I97" s="21" t="n">
        <f aca="false">MAX(0,I94+I96-I95)</f>
        <v>0</v>
      </c>
      <c r="J97" s="21" t="n">
        <f aca="false">MAX(0,J94+J96-J95)</f>
        <v>0</v>
      </c>
      <c r="K97" s="21" t="n">
        <f aca="false">MAX(0,K94+K96-K95)</f>
        <v>0</v>
      </c>
    </row>
    <row r="99" customFormat="false" ht="15" hidden="false" customHeight="false" outlineLevel="0" collapsed="false">
      <c r="B99" s="20" t="s">
        <v>168</v>
      </c>
      <c r="C99" s="24" t="n">
        <f aca="false">C45+C48+C46-C33-C38</f>
        <v>-49.04</v>
      </c>
      <c r="D99" s="24" t="n">
        <f aca="false">D45+D48+D46-D33-D38</f>
        <v>-51.011</v>
      </c>
      <c r="E99" s="24" t="n">
        <f aca="false">E45+E48+E46-E33-E38</f>
        <v>-50.021</v>
      </c>
      <c r="F99" s="24" t="n">
        <f aca="false">F45+F48+F46-F33-F38</f>
        <v>-33.763</v>
      </c>
      <c r="G99" s="24" t="n">
        <f aca="false">G45+G48+G46-G33-G38</f>
        <v>-33.763</v>
      </c>
      <c r="H99" s="24" t="n">
        <f aca="false">H45+H48+H46-H33-H38</f>
        <v>-33.763</v>
      </c>
      <c r="I99" s="24" t="n">
        <f aca="false">I45+I48+I46-I33-I38</f>
        <v>-33.763</v>
      </c>
      <c r="J99" s="24" t="n">
        <f aca="false">J45+J48+J46-J33-J38</f>
        <v>-33.763</v>
      </c>
      <c r="K99" s="24" t="n">
        <f aca="false">K45+K48+K46-K33-K38</f>
        <v>-33.763</v>
      </c>
    </row>
    <row r="100" customFormat="false" ht="15" hidden="false" customHeight="false" outlineLevel="0" collapsed="false">
      <c r="B100" s="20" t="s">
        <v>221</v>
      </c>
      <c r="C100" s="24" t="n">
        <f aca="false">C69+C70</f>
        <v>111.443</v>
      </c>
      <c r="D100" s="24" t="n">
        <f aca="false">D69+D70</f>
        <v>99.584</v>
      </c>
      <c r="E100" s="24" t="n">
        <f aca="false">E69+E70</f>
        <v>108.807</v>
      </c>
      <c r="F100" s="24" t="n">
        <f aca="false">F69+F70</f>
        <v>98.767</v>
      </c>
      <c r="G100" s="24" t="n">
        <f aca="false">G69+G70</f>
        <v>131.613059624881</v>
      </c>
      <c r="H100" s="24" t="n">
        <f aca="false">H69+H70</f>
        <v>139.242299254928</v>
      </c>
      <c r="I100" s="24" t="n">
        <f aca="false">I69+I70</f>
        <v>146.946904187514</v>
      </c>
      <c r="J100" s="24" t="n">
        <f aca="false">J69+J70</f>
        <v>153.236520606699</v>
      </c>
      <c r="K100" s="24" t="n">
        <f aca="false">K69+K70</f>
        <v>159.466378291869</v>
      </c>
    </row>
    <row r="101" customFormat="false" ht="15" hidden="false" customHeight="false" outlineLevel="0" collapsed="false">
      <c r="B101" s="20" t="s">
        <v>222</v>
      </c>
      <c r="C101" s="24" t="n">
        <f aca="false">C73+C74</f>
        <v>104.243</v>
      </c>
      <c r="D101" s="24" t="n">
        <f aca="false">D73+D74</f>
        <v>92.575</v>
      </c>
      <c r="E101" s="24" t="n">
        <f aca="false">E73+E74</f>
        <v>110.183</v>
      </c>
      <c r="F101" s="24" t="n">
        <f aca="false">F73+F74</f>
        <v>106.132</v>
      </c>
      <c r="G101" s="24" t="n">
        <f aca="false">G73+G74</f>
        <v>131.613059624881</v>
      </c>
      <c r="H101" s="24" t="n">
        <f aca="false">H73+H74</f>
        <v>139.242299254928</v>
      </c>
      <c r="I101" s="24" t="n">
        <f aca="false">I73+I74</f>
        <v>146.946904187514</v>
      </c>
      <c r="J101" s="24" t="n">
        <f aca="false">J73+J74</f>
        <v>153.236520606699</v>
      </c>
      <c r="K101" s="24" t="n">
        <f aca="false">K73+K74</f>
        <v>159.466378291869</v>
      </c>
    </row>
    <row r="102" customFormat="false" ht="15" hidden="false" customHeight="false" outlineLevel="0" collapsed="false">
      <c r="B102" s="20" t="s">
        <v>223</v>
      </c>
      <c r="C102" s="25" t="n">
        <f aca="false">C101/C100</f>
        <v>0.935392981165259</v>
      </c>
      <c r="D102" s="25" t="n">
        <f aca="false">D101/D100</f>
        <v>0.929617207583548</v>
      </c>
      <c r="E102" s="25" t="n">
        <f aca="false">E101/E100</f>
        <v>1.01264624518643</v>
      </c>
      <c r="F102" s="25" t="n">
        <f aca="false">F101/F100</f>
        <v>1.07456944121012</v>
      </c>
      <c r="G102" s="25" t="n">
        <f aca="false">G101/G100</f>
        <v>1</v>
      </c>
      <c r="H102" s="25" t="n">
        <f aca="false">H101/H100</f>
        <v>1</v>
      </c>
      <c r="I102" s="25" t="n">
        <f aca="false">I101/I100</f>
        <v>1</v>
      </c>
      <c r="J102" s="25" t="n">
        <f aca="false">J101/J100</f>
        <v>1</v>
      </c>
      <c r="K102" s="25" t="n">
        <f aca="false">K101/K100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11" min="3" style="0" width="12"/>
  </cols>
  <sheetData>
    <row r="2" customFormat="false" ht="17.35" hidden="false" customHeight="false" outlineLevel="0" collapsed="false">
      <c r="B2" s="1" t="s">
        <v>224</v>
      </c>
    </row>
    <row r="4" customFormat="false" ht="15" hidden="false" customHeight="false" outlineLevel="0" collapsed="false">
      <c r="C4" s="11" t="s">
        <v>104</v>
      </c>
      <c r="D4" s="11" t="s">
        <v>105</v>
      </c>
      <c r="E4" s="11" t="s">
        <v>106</v>
      </c>
      <c r="F4" s="11" t="s">
        <v>107</v>
      </c>
      <c r="G4" s="11" t="s">
        <v>225</v>
      </c>
      <c r="H4" s="11" t="s">
        <v>226</v>
      </c>
      <c r="I4" s="11" t="s">
        <v>227</v>
      </c>
      <c r="J4" s="11" t="s">
        <v>228</v>
      </c>
      <c r="K4" s="11" t="s">
        <v>229</v>
      </c>
    </row>
    <row r="5" customFormat="false" ht="15" hidden="false" customHeight="false" outlineLevel="0" collapsed="false">
      <c r="B5" s="0" t="s">
        <v>230</v>
      </c>
      <c r="C5" s="24" t="n">
        <f aca="false">Model!C56</f>
        <v>0</v>
      </c>
      <c r="D5" s="24" t="n">
        <f aca="false">Model!D56</f>
        <v>0</v>
      </c>
      <c r="E5" s="24" t="n">
        <f aca="false">Model!E56</f>
        <v>0</v>
      </c>
      <c r="F5" s="24" t="n">
        <f aca="false">Model!F56</f>
        <v>0</v>
      </c>
      <c r="G5" s="24" t="n">
        <f aca="false">Model!G56</f>
        <v>0</v>
      </c>
      <c r="H5" s="24" t="n">
        <f aca="false">Model!H56</f>
        <v>0</v>
      </c>
      <c r="I5" s="24" t="n">
        <f aca="false">Model!I56</f>
        <v>0</v>
      </c>
      <c r="J5" s="24" t="n">
        <f aca="false">Model!J56</f>
        <v>0</v>
      </c>
      <c r="K5" s="24" t="n">
        <f aca="false">Model!K56</f>
        <v>0</v>
      </c>
    </row>
    <row r="6" customFormat="false" ht="15" hidden="false" customHeight="false" outlineLevel="0" collapsed="false">
      <c r="B6" s="0" t="s">
        <v>231</v>
      </c>
      <c r="C6" s="24" t="n">
        <f aca="false">0</f>
        <v>0</v>
      </c>
      <c r="D6" s="24" t="n">
        <f aca="false">0</f>
        <v>0</v>
      </c>
      <c r="E6" s="24" t="n">
        <f aca="false">0</f>
        <v>0</v>
      </c>
      <c r="F6" s="24" t="n">
        <f aca="false">0</f>
        <v>0</v>
      </c>
      <c r="G6" s="24" t="n">
        <f aca="false">ROUND(Model!G81-Model!G33,3)</f>
        <v>0</v>
      </c>
      <c r="H6" s="24" t="n">
        <f aca="false">ROUND(Model!H81-Model!H33,3)</f>
        <v>0</v>
      </c>
      <c r="I6" s="24" t="n">
        <f aca="false">ROUND(Model!I81-Model!I33,3)</f>
        <v>0</v>
      </c>
      <c r="J6" s="24" t="n">
        <f aca="false">ROUND(Model!J81-Model!J33,3)</f>
        <v>0</v>
      </c>
      <c r="K6" s="24" t="n">
        <f aca="false">ROUND(Model!K81-Model!K33,3)</f>
        <v>0</v>
      </c>
    </row>
    <row r="7" customFormat="false" ht="15" hidden="false" customHeight="false" outlineLevel="0" collapsed="false">
      <c r="B7" s="0" t="s">
        <v>232</v>
      </c>
      <c r="C7" s="24" t="n">
        <f aca="false">0</f>
        <v>0</v>
      </c>
      <c r="D7" s="24" t="n">
        <f aca="false">0</f>
        <v>0</v>
      </c>
      <c r="E7" s="24" t="n">
        <f aca="false">0</f>
        <v>0</v>
      </c>
      <c r="F7" s="24" t="n">
        <f aca="false">0</f>
        <v>0</v>
      </c>
      <c r="G7" s="24" t="n">
        <f aca="false">ROUND(Model!G87-Model!G39,3)</f>
        <v>0</v>
      </c>
      <c r="H7" s="24" t="n">
        <f aca="false">ROUND(Model!H87-Model!H39,3)</f>
        <v>0</v>
      </c>
      <c r="I7" s="24" t="n">
        <f aca="false">ROUND(Model!I87-Model!I39,3)</f>
        <v>0</v>
      </c>
      <c r="J7" s="24" t="n">
        <f aca="false">ROUND(Model!J87-Model!J39,3)</f>
        <v>0</v>
      </c>
      <c r="K7" s="24" t="n">
        <f aca="false">ROUND(Model!K87-Model!K39,3)</f>
        <v>0</v>
      </c>
    </row>
    <row r="8" customFormat="false" ht="15" hidden="false" customHeight="false" outlineLevel="0" collapsed="false">
      <c r="B8" s="0" t="s">
        <v>233</v>
      </c>
      <c r="C8" s="24" t="n">
        <f aca="false">0</f>
        <v>0</v>
      </c>
      <c r="D8" s="24" t="n">
        <f aca="false">0</f>
        <v>0</v>
      </c>
      <c r="E8" s="24" t="n">
        <f aca="false">0</f>
        <v>0</v>
      </c>
      <c r="F8" s="24" t="n">
        <f aca="false">0</f>
        <v>0</v>
      </c>
      <c r="G8" s="24" t="n">
        <f aca="false">ROUND(Model!G92-Model!G48,3)</f>
        <v>0</v>
      </c>
      <c r="H8" s="24" t="n">
        <f aca="false">ROUND(Model!H92-Model!H48,3)</f>
        <v>0</v>
      </c>
      <c r="I8" s="24" t="n">
        <f aca="false">ROUND(Model!I92-Model!I48,3)</f>
        <v>0</v>
      </c>
      <c r="J8" s="24" t="n">
        <f aca="false">ROUND(Model!J92-Model!J48,3)</f>
        <v>0</v>
      </c>
      <c r="K8" s="24" t="n">
        <f aca="false">ROUND(Model!K92-Model!K48,3)</f>
        <v>0</v>
      </c>
    </row>
    <row r="9" customFormat="false" ht="15" hidden="false" customHeight="false" outlineLevel="0" collapsed="false">
      <c r="B9" s="0" t="s">
        <v>234</v>
      </c>
      <c r="C9" s="29" t="b">
        <f aca="false">TRUE()</f>
        <v>1</v>
      </c>
      <c r="D9" s="29" t="b">
        <f aca="false">TRUE()</f>
        <v>1</v>
      </c>
      <c r="E9" s="29" t="b">
        <f aca="false">TRUE()</f>
        <v>1</v>
      </c>
      <c r="F9" s="29" t="b">
        <f aca="false">TRUE()</f>
        <v>1</v>
      </c>
      <c r="G9" s="29" t="b">
        <f aca="false">Model!G33&gt;=Model!G96-0.001</f>
        <v>1</v>
      </c>
      <c r="H9" s="29" t="b">
        <f aca="false">Model!H33&gt;=Model!H96-0.001</f>
        <v>1</v>
      </c>
      <c r="I9" s="29" t="b">
        <f aca="false">Model!I33&gt;=Model!I96-0.001</f>
        <v>1</v>
      </c>
      <c r="J9" s="29" t="b">
        <f aca="false">Model!J33&gt;=Model!J96-0.001</f>
        <v>1</v>
      </c>
      <c r="K9" s="29" t="b">
        <f aca="false">Model!K33&gt;=Model!K96-0.001</f>
        <v>1</v>
      </c>
    </row>
    <row r="10" customFormat="false" ht="15" hidden="false" customHeight="false" outlineLevel="0" collapsed="false">
      <c r="B10" s="0" t="s">
        <v>235</v>
      </c>
      <c r="C10" s="24" t="n">
        <f aca="false">ROUND(Historical!C16-Historical!C17,1)</f>
        <v>0</v>
      </c>
      <c r="D10" s="24" t="n">
        <f aca="false">ROUND(Historical!D16-Historical!D17,1)</f>
        <v>0</v>
      </c>
      <c r="E10" s="24" t="n">
        <f aca="false">ROUND(Historical!E16-Historical!E17,1)</f>
        <v>0</v>
      </c>
      <c r="F10" s="24" t="n">
        <f aca="false">ROUND(Historical!F16-Historical!F17,1)</f>
        <v>0</v>
      </c>
      <c r="G10" s="24" t="n">
        <f aca="false">0</f>
        <v>0</v>
      </c>
      <c r="H10" s="24" t="n">
        <f aca="false">0</f>
        <v>0</v>
      </c>
      <c r="I10" s="24" t="n">
        <f aca="false">0</f>
        <v>0</v>
      </c>
      <c r="J10" s="24" t="n">
        <f aca="false">0</f>
        <v>0</v>
      </c>
      <c r="K10" s="24" t="n">
        <f aca="false">0</f>
        <v>0</v>
      </c>
    </row>
    <row r="12" customFormat="false" ht="15" hidden="false" customHeight="false" outlineLevel="0" collapsed="false">
      <c r="B12" s="3" t="s">
        <v>236</v>
      </c>
      <c r="C12" s="30" t="str">
        <f aca="false">IF(AND(SUMPRODUCT(ABS(C5:K8))&lt;0.01,COUNTIF(C9:K9,FALSE())=0,SUMPRODUCT(ABS(C10:K10))&lt;0.2),"MODEL OK","CHECK ERRORS")</f>
        <v>MODEL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2026-09-14T13:23:30Z</dcterms:created>
  <dc:creator>openpyxl</dc:creator>
  <dc:description/>
  <dc:language>en-US</dc:language>
  <cp:lastModifiedBy/>
  <dcterms:modified xsi:type="dcterms:W3CDTF">2026-09-14T13:23:30Z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